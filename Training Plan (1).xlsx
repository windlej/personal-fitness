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Weekly Summary" sheetId="2" r:id="rId5"/>
    <sheet state="visible" name="Daily Schedule" sheetId="3" r:id="rId6"/>
    <sheet state="visible" name="Kettlebell Plan" sheetId="4" r:id="rId7"/>
    <sheet state="visible" name="Zones &amp; Sessions" sheetId="5" r:id="rId8"/>
  </sheets>
  <definedNames>
    <definedName hidden="1" localSheetId="2" name="_xlnm._FilterDatabase">'Daily Schedule'!$A$4:$J$372</definedName>
  </definedNames>
  <calcPr/>
  <extLst>
    <ext uri="GoogleSheetsCustomDataVersion2">
      <go:sheetsCustomData xmlns:go="http://customooxmlschemas.google.com/" r:id="rId9" roundtripDataChecksum="H+Zvd+TayMDiHTO1RGmvuNbuslN7s9DViEkyMXtRJoQ="/>
    </ext>
  </extLst>
</workbook>
</file>

<file path=xl/sharedStrings.xml><?xml version="1.0" encoding="utf-8"?>
<sst xmlns="http://schemas.openxmlformats.org/spreadsheetml/2006/main" count="2748" uniqueCount="378">
  <si>
    <t>12-Month Running + Kettlebell Plan  |  Oct 1, 2026 → Oct 3, 2027</t>
  </si>
  <si>
    <t>Goal: general fitness and fun — be able to run anything from 5K to the half marathon in 2027. Lighter training in Nov–Dec for family time.</t>
  </si>
  <si>
    <t>Weekly Summary — 12-Month Running + Kettlebell Plan</t>
  </si>
  <si>
    <t>WEEKLY TEMPLATE (Build weeks)</t>
  </si>
  <si>
    <t>Sun — Rest from running + KB A: Hinge &amp; Press (strength)</t>
  </si>
  <si>
    <t>Daily Schedule — Oct 1, 2026 to Oct 3, 2027</t>
  </si>
  <si>
    <t>Mon — Quality 1: Threshold</t>
  </si>
  <si>
    <t>Run Days, Total Run Min and Long Run are formulas pulling from the Daily Schedule tab. Green rows = down/holiday weeks, gold = race/test weeks.</t>
  </si>
  <si>
    <t>Tue — Easy Zone 2 (strides on A/even weeks) + KB B: Upper &amp; Core (after the run, or at lunch/desk breaks)</t>
  </si>
  <si>
    <t>Wed — Quality 2: VO2 Max (A weeks) or Sprints/Strides (B weeks) — no kettlebell</t>
  </si>
  <si>
    <t>KB Sessions counts Mon/Wed/Fri kettlebell work (2 × 25 lb).</t>
  </si>
  <si>
    <t>Run Min = planned total session time incl. warm-up/cool-down (optional runs counted). Weekday sessions ≤ 40'; long run ≤ 90'. Edit Run Min and the Weekly Summary updates.</t>
  </si>
  <si>
    <t>Thu — No running + KB C: Squat, Single-Leg &amp; Carry (moderate legs)</t>
  </si>
  <si>
    <t>Fri — Easy Zone 2 + 4–5 strides (shakeout before long run)</t>
  </si>
  <si>
    <t>Sat — Long run, easy (ramps to 90')</t>
  </si>
  <si>
    <t>PHASES</t>
  </si>
  <si>
    <t>Week</t>
  </si>
  <si>
    <t>Kettlebell Plan — 2 × 25 lb, 3 sessions/week (Mon / Wed / Fri)</t>
  </si>
  <si>
    <t>1  Re-Entry Base (Oct 1 – Nov 1): ease back in, all 4 intensities introduced gently, long run 55–65'.</t>
  </si>
  <si>
    <t>2  Family-First Maintenance (Nov 2 – Jan 3): 3–4 runs, ONE quality session (threshold ↔ short VO2), long run 45–65', two holiday-light weeks (Thanksgiving, Christmas).</t>
  </si>
  <si>
    <t>3  Base Build (Jan 4 – Feb 28): full structure returns; long run 60 → 80'; Feb 4 = 20' time trial to set zones.</t>
  </si>
  <si>
    <t>4  Build I (Mar 1 – Apr 25): first 90' long run (W24); VO2 moves to 3–4' reps; optional 5K race/test Sat Apr 24.</t>
  </si>
  <si>
    <t>5  Build II (Apr 26 – Jul 18): hold 80–90' long runs; threshold work at the 40' cap; flat accelerations; optional 10K race/test Sat Jul 17.</t>
  </si>
  <si>
    <t>6  Half-Marathon Block (Jul 19 – Oct 3): 85–90' long runs, sharpening; optional half marathon Sun Oct 3.</t>
  </si>
  <si>
    <t>HOW YOUR RULES ARE APPLIED</t>
  </si>
  <si>
    <t>Rules: stop every set ~2 reps shy of failure · rest 45–90s between sets · quality running days always win — if a run session leaves you wrecked, shorten the next KB session.</t>
  </si>
  <si>
    <t>Start (Mon)</t>
  </si>
  <si>
    <t>Date</t>
  </si>
  <si>
    <t>• Weekday runs ≤ 40' and the Saturday run ≤ 40' (total session time incl. warm-up/cool-down). Long run ≤ 90', ramped 5–10' at a time with a drop every 4th week.</t>
  </si>
  <si>
    <t>End (Sun)</t>
  </si>
  <si>
    <t>Progression inside each block: weeks 1–3 add the reps/seconds shown (→ = week 1 to week 3 target), week 4 is a down week (1 fewer set). Next block moves up a level.</t>
  </si>
  <si>
    <t>• Every Build week = exactly 2 quality running days + 1 long run; remaining runs are easy. (Nov–Dec is intentionally 1 quality day — see assumptions.)</t>
  </si>
  <si>
    <t>Day</t>
  </si>
  <si>
    <t>Phase</t>
  </si>
  <si>
    <t>• 14-day rotation: A week = Threshold + VO2; B week = Threshold + Sprints/Strides. Easy Zone 2 fills everything else, so all 4 systems appear in every 14-day cycle.</t>
  </si>
  <si>
    <t>25 lb is light for squats and deadlifts: progress with tempo (3s lowering), single-leg work, shorter rests, and double-bell lifts. If a 25 still feels easy for 5×20 swings, consider adding a 35 lb bell.</t>
  </si>
  <si>
    <t>• Strides (4–5 × ~15s) finish select easy runs: every Saturday, plus Wednesdays in A weeks.</t>
  </si>
  <si>
    <t>Week Type</t>
  </si>
  <si>
    <t>Workday option: Session B (15–25') splits into two 8–10' mini-blocks. A and C work before/after work or at lunch.</t>
  </si>
  <si>
    <t>Session</t>
  </si>
  <si>
    <t>• Progressive overload: reps, threshold minutes and long run grow slowly; every 4th week is a ~25–30% down week.</t>
  </si>
  <si>
    <t>Quality Mix</t>
  </si>
  <si>
    <t>Run Min</t>
  </si>
  <si>
    <t>• Kettlebell (2 × 25 lb): 3 sessions/week — Mon (A), Wed (B), Fri (C) — never stacked on quality days. Progress via reps, tempo, single-leg work and carries (25 lb is light for legs). See the Kettlebell Plan tab. Maintenance weeks keep short 15–25' sessions; holiday/race weeks go light.</t>
  </si>
  <si>
    <t>Run Days</t>
  </si>
  <si>
    <t>Intensity</t>
  </si>
  <si>
    <t>IF LIFE GETS BUSY — PRIORITY ORDER</t>
  </si>
  <si>
    <t>Total Run Min</t>
  </si>
  <si>
    <t>Run Details</t>
  </si>
  <si>
    <t>Long Run Min (Sun)</t>
  </si>
  <si>
    <t>Level / Phase</t>
  </si>
  <si>
    <t>Kettlebell</t>
  </si>
  <si>
    <t>1) Long run  2) Quality sessions  3) Easy runs  4) Kettlebell. Missed a day? Skip it; don't stack or make it up. Missed 3+ days? Repeat the prior week's volume before progressing. Sat/Sun can swap.</t>
  </si>
  <si>
    <t>Long Run Δ vs Prior Wk</t>
  </si>
  <si>
    <t>Weeks</t>
  </si>
  <si>
    <t>Notes</t>
  </si>
  <si>
    <t>ASSUMPTIONS TO CONFIRM</t>
  </si>
  <si>
    <t>KB A – Hinge &amp; Press (Mon)</t>
  </si>
  <si>
    <t>• Paces are estimates from your 'about 60' at 8:30, not all out' — see Zones &amp; Sessions, then update after the Feb 4 time trial. Run by effort first.</t>
  </si>
  <si>
    <t>KB B – Upper &amp; Core (Wed)</t>
  </si>
  <si>
    <t>• Nov–Dec drops to 1 quality day/week as a deliberate exception to the 2-quality rule. Tell me if you'd rather keep 2.</t>
  </si>
  <si>
    <t>KB C – Squat, Single-Leg &amp; Carry (Fri)</t>
  </si>
  <si>
    <t>KB Sessions</t>
  </si>
  <si>
    <t>• Races/tests (5K 4/24, 10K 7/17, half 10/3) are optional placeholders — swap dates to real events. The half marathon may take longer than the 90' cap by design.</t>
  </si>
  <si>
    <t>Focus / Notes</t>
  </si>
  <si>
    <t>• Hill sprints need a hill; use flat accelerations if you don't have one. Anything sharp or lingering (Achilles, shin, calf, knee) → back off and get it checked.</t>
  </si>
  <si>
    <t>1. Re-Entry Base</t>
  </si>
  <si>
    <t>W1–W4 (Oct)</t>
  </si>
  <si>
    <t>Thu</t>
  </si>
  <si>
    <t>1 Re-Entry Base</t>
  </si>
  <si>
    <t>~30': KB swings (two-hand, one 25) 3×15 | Double-KB deadlift 3×10 | Single-arm press 3×6 each | One-arm row 3×8 each | Suitcase carry 3×30s each</t>
  </si>
  <si>
    <t>~20': Halos 2×8 each way | Single-arm press 3×6 each | One-arm row 3×8 each | Russian twist 3×20 | Plank 3×30s</t>
  </si>
  <si>
    <t>Start (partial week)</t>
  </si>
  <si>
    <t>Easy Run</t>
  </si>
  <si>
    <t>~25': Goblet squat 3×10 | Reverse lunge (goblet) 2×8 each | Glute bridge (KB on hips) 3×12 | Suitcase carry 3×30s each | Plank 3×30s</t>
  </si>
  <si>
    <t>None (restart)</t>
  </si>
  <si>
    <t>Zone 2 – easy (RPE 3–4)</t>
  </si>
  <si>
    <t>2. Family-First Maintenance</t>
  </si>
  <si>
    <t>Easy aerobic run 30' (Zone 2, talk-test pace)</t>
  </si>
  <si>
    <t>W5–W13 (Nov–Dec)</t>
  </si>
  <si>
    <t>~20': KB swings (two-hand) 3×15 | Double-KB deadlift 2×10 | Single-arm press 2×6 each | Suitcase carry 2×30s each</t>
  </si>
  <si>
    <t>—</t>
  </si>
  <si>
    <t>~15': Halos 2×8 each way | Single-arm press 2×6 each | One-arm row 2×8 each | Plank 2×30s</t>
  </si>
  <si>
    <t>Restart day. Keep it genuinely easy.</t>
  </si>
  <si>
    <t>~20': Goblet squat 2×10 | Reverse lunge (goblet) 2×8 each | Glute bridge (KB on hips) 2×12 | Plank 2×30s</t>
  </si>
  <si>
    <t>3. Base Build</t>
  </si>
  <si>
    <t>W14–W21 (Jan–Feb)</t>
  </si>
  <si>
    <t>~35': KB swings (two-hand) 4×15→19 | Double-KB deadlift (3s lowering) 3×8→10 | Double-KB press 3×5→7 | One-arm row 3×8→10 each | Turkish get-up 2×2 each | Double farmer carry 3×40→50s</t>
  </si>
  <si>
    <t>~20': Halos 2×8 each way | Double-KB press 3×5→7 | Double-KB bent-over row 3×8→10 | Turkish get-up 2×2 each | Russian twist 3×20→24 | Plank 3×40→50s</t>
  </si>
  <si>
    <t>~30': Double-KB front squat 3×8→10 | Reverse lunge (double rack) 3×6→8 each | Single-leg glute bridge 3×8→10 each | Calf raise (hold KB) 3×12→16 | Suitcase carry 3×40→50s each | Side plank 3×20→30s each</t>
  </si>
  <si>
    <t>4. Build I</t>
  </si>
  <si>
    <t>W22–W29 (Mar–Apr)</t>
  </si>
  <si>
    <t>~40': One-arm swings 4×10→12 each | Single-leg RDL (one KB) 3×8→10 each | Double-KB press 4×5→7 | Renegade row 3×5→7 each | Turkish get-up 3×2 each | Double farmer carry 4×40→50s</t>
  </si>
  <si>
    <t>~25': Halos 3×8 each way | Double-KB press 4×5→7 | Double-KB bent-over row 4×8→10 | Turkish get-up 3×2 each | Windmill 2×5 each | Dead bug 3×8 each</t>
  </si>
  <si>
    <t>~35': Double-KB front squat 4×8→10 | Rear-foot-elevated split squat (goblet) 3×6→8 each | Single-leg calf raise 3×10→14 each | Step-up (stair/low box, double KB) 3×6→8 each | Rack carry (one KB) 3×40→50s each | Side plank 3×30→40s each</t>
  </si>
  <si>
    <t>Fri</t>
  </si>
  <si>
    <t>5. Build II</t>
  </si>
  <si>
    <t>W30–W41 (Apr–Jul)</t>
  </si>
  <si>
    <t>~40': One-arm swings 5×10→12 each | Single-leg RDL (one KB) 4×8→10 each | Double-KB push press 4×5→7 | Renegade row 3×6→8 each | Turkish get-up 3×3 each | Double farmer carry 4×45→55s</t>
  </si>
  <si>
    <t>~25': Halos 3×8 each way | Double-KB push press 4×5→7 | Double-KB bent-over row 4×10→12 | Bottoms-up press 2×5 each | Windmill 3×5 each | Russian twist 3×24→28</t>
  </si>
  <si>
    <t>Rest (KB only)</t>
  </si>
  <si>
    <t>~35': Double-KB front squat (3s lowering) 4×8→10 | Rear-foot-elevated split squat (goblet) 4×6→8 each | Single-leg calf raise 3×12→16 each | Step-up (stair/low box, double KB) 3×8→10 each | Rack carry (one KB) 3×45→55s each | Side plank 3×35→45s each</t>
  </si>
  <si>
    <t>6. Half-Marathon Block</t>
  </si>
  <si>
    <t>W42–W52 (Jul–Oct)</t>
  </si>
  <si>
    <t>~35': One-arm swings 4×10→12 each | Single-leg RDL (one KB) 3×10 each | Double-KB press 3×6 | Renegade row 3×6 each | Turkish get-up 2×3 each | Double farmer carry 4×45s</t>
  </si>
  <si>
    <t>~20': Halos 2×8 each way | Double-KB press 3×6 | Double-KB bent-over row 3×10 | Turkish get-up 2×3 each | Windmill 2×5 each | Plank 3×45s</t>
  </si>
  <si>
    <t>~30': Double-KB front squat 3×8 | Rear-foot-elevated split squat (goblet) 3×6 each | Single-leg calf raise 3×12 each | Step-up (stair/low box, double KB) 3×8 each | Rack carry (one KB) 3×45s each | Side plank 3×35s each</t>
  </si>
  <si>
    <t>No running — kettlebell session only.</t>
  </si>
  <si>
    <t>KB C – intro (~20'): goblet squat 2×10 | reverse lunge 2×8 each | glute bridge 2×12 | plank 2×30s — learn the movements, easy effort</t>
  </si>
  <si>
    <t>Sat</t>
  </si>
  <si>
    <t>Zone 2 + strides (RPE 3–4; strides ~7)</t>
  </si>
  <si>
    <t>Easy aerobic run 30' (Zone 2, talk-test pace) | finish with 4×15s strides (relaxed-fast, 45–60s walk/jog between)</t>
  </si>
  <si>
    <t>Sun</t>
  </si>
  <si>
    <t>Long Run</t>
  </si>
  <si>
    <t>Long run 55' easy (Zone 2). Steady and relaxed — finish feeling you could run 10–15' more.</t>
  </si>
  <si>
    <t>Partial week: first quality session is Tue 10/6.</t>
  </si>
  <si>
    <t>Mon</t>
  </si>
  <si>
    <t>No running — KB session only. Keep legs moderate (stop 2 reps shy of failure).</t>
  </si>
  <si>
    <t>KB A – Hinge &amp; Press (~30', no-run day, any time): KB swings (two-hand, one 25) 3×15 | Double-KB deadlift 3×10 | Single-arm press 3×6 each | One-arm row 3×8 each | Suitcase carry 3×30s each</t>
  </si>
  <si>
    <t>Tue</t>
  </si>
  <si>
    <t>Quality 1: Threshold</t>
  </si>
  <si>
    <t>Threshold – Zone 4 (RPE 6–7)</t>
  </si>
  <si>
    <t>WU 10' easy jog + drills | 3×5' @ threshold (2' easy jog between) | CD 8' easy</t>
  </si>
  <si>
    <t>Run by effort; see Zones sheet for pace estimates.</t>
  </si>
  <si>
    <t>Wed</t>
  </si>
  <si>
    <t>KB B – Upper &amp; Core (~20', after the easy run, at lunch, or split into two 8–10' desk-break mini-blocks): Halos 2×8 each way | Single-arm press 3×6 each | One-arm row 3×8 each | Russian twist 3×20 | Plank 3×30s</t>
  </si>
  <si>
    <t>Quality 2: Sprints/Strides</t>
  </si>
  <si>
    <t>Sprint / neuromuscular (RPE 8–9, full recovery)</t>
  </si>
  <si>
    <t>WU 15' easy jog + drills | 6×15s fast strides (~85%, controlled; 60s jog recovery) | CD 12' easy</t>
  </si>
  <si>
    <t>Quality over quantity: stop if form degrades. Full recovery between reps.</t>
  </si>
  <si>
    <t>Partial week (Thu–Sun).</t>
  </si>
  <si>
    <t>KB C – Squat, Single-Leg &amp; Carry (~25', no-run day, moderate legs — stop every set ~2 reps shy of failure): Goblet squat 3×10 | Reverse lunge (goblet) 2×8 each | Glute bridge (KB on hips) 3×12 | Suitcase carry 3×30s each | Plank 3×30s</t>
  </si>
  <si>
    <t>Build</t>
  </si>
  <si>
    <t>Threshold + Sprints/Strides</t>
  </si>
  <si>
    <t>Strides prime the legs for tomorrow's long run.</t>
  </si>
  <si>
    <t>Long run 60' easy (Zone 2). Steady and relaxed — finish feeling you could run 10–15' more.</t>
  </si>
  <si>
    <t>WU 10' easy jog + drills | 3×6' @ threshold (2' easy jog between) | CD 8' easy</t>
  </si>
  <si>
    <t>Quality 2: VO2 Max</t>
  </si>
  <si>
    <t>VO2 Max – Zone 5 (RPE 8–9)</t>
  </si>
  <si>
    <t>WU 10' easy jog + drills | 8×30s @ VO2 effort (~3K–5K race effort) (30s easy jog between) | CD 12' easy</t>
  </si>
  <si>
    <t>Hard but repeatable — last rep ≈ first rep. Jog recoveries, don't stop.</t>
  </si>
  <si>
    <t>Intensity Zones &amp; Session Library</t>
  </si>
  <si>
    <t>Pace calculator (update after your Week 18 time trial)</t>
  </si>
  <si>
    <t>20-min time trial distance (miles)</t>
  </si>
  <si>
    <t>← YELLOW = edit me. 2.9 mi is a STARTING ASSUMPTION (≈6:54/mi, ≈21:25 5K), inferred from your 60' @ 8:30 comfortable run. Replace with your real 20' TT distance on 2/4/2027.</t>
  </si>
  <si>
    <t>20-min TT pace (sec/mi)</t>
  </si>
  <si>
    <t>WU 10' easy jog + drills | 3×6' @ threshold (1' easy jog between) | CD 8' easy</t>
  </si>
  <si>
    <t>Rebuild tendon/bone tolerance; controlled intro to all 4 intensities.</t>
  </si>
  <si>
    <t>Threshold + VO2 Max</t>
  </si>
  <si>
    <t>20-min TT pace (min:sec/mi)</t>
  </si>
  <si>
    <t>WU 15' easy jog + drills | 6×8s hill sprints (steep, near-max but relaxed; walk down, ≥90s recovery; use flat 95% accelerations if no hill) | CD 10' easy</t>
  </si>
  <si>
    <t>Intensity System</t>
  </si>
  <si>
    <t>Purpose</t>
  </si>
  <si>
    <t>Effort / RPE</t>
  </si>
  <si>
    <t>Pace estimate (min/mi)</t>
  </si>
  <si>
    <t>Rule of thumb vs. TT pace</t>
  </si>
  <si>
    <t>Typical sessions</t>
  </si>
  <si>
    <t>Frequency</t>
  </si>
  <si>
    <t>Easy – Zone 2</t>
  </si>
  <si>
    <t>Aerobic base, durability, recovery</t>
  </si>
  <si>
    <t>RPE 3–4, full sentences</t>
  </si>
  <si>
    <t>Long run 65' easy (Zone 2). Steady and relaxed — finish feeling you could run 10–15' more.</t>
  </si>
  <si>
    <t>TT pace + 100–150 sec/mi (slower is fine; go by talk test)</t>
  </si>
  <si>
    <t>Easy runs, long run, warm-ups/cool-downs</t>
  </si>
  <si>
    <t>Most of the week (3–4 runs + long run)</t>
  </si>
  <si>
    <t>Lactate Threshold</t>
  </si>
  <si>
    <t>KB A – Hinge &amp; Press (~25', no-run day, any time): KB swings (two-hand, one 25) 2×15 | Double-KB deadlift 2×10 | Single-arm press 2×6 each | One-arm row 2×8 each | Suitcase carry 2×30s each — DOWN WEEK: 1 fewer set</t>
  </si>
  <si>
    <t>Raise sustainable speed (half-marathon/10K engine)</t>
  </si>
  <si>
    <t>RPE 6–7, comfortably hard</t>
  </si>
  <si>
    <t>Quality 1: Threshold (light)</t>
  </si>
  <si>
    <t>WU 10' easy jog + drills | 2×6' @ threshold (2' easy jog between) | CD 8' easy</t>
  </si>
  <si>
    <t>Easy aerobic run 25' (Zone 2, talk-test pace) | finish with 4×15s strides (relaxed-fast, 45–60s walk/jog between)</t>
  </si>
  <si>
    <t>KB B – Upper &amp; Core (~15', after the easy run, at lunch, or split into two 8–10' desk-break mini-blocks): Halos 1×8 each way | Single-arm press 2×6 each | One-arm row 2×8 each | Russian twist 2×20 | Plank 2×30s — DOWN WEEK: 1 fewer set</t>
  </si>
  <si>
    <t>TT pace + 15–20 sec/mi</t>
  </si>
  <si>
    <t>Cruise intervals (3×8'/1'), 2×12'/2', 20–25' tempo</t>
  </si>
  <si>
    <t>Every week (Tuesday)</t>
  </si>
  <si>
    <t>VO2 Max</t>
  </si>
  <si>
    <t>Raise aerobic ceiling (5K speed)</t>
  </si>
  <si>
    <t>RPE 8–9, hard but repeatable</t>
  </si>
  <si>
    <t>WU 10' easy jog + drills | 6×30s @ VO2 effort (~3K–5K race effort) (30s easy jog between) | CD 14' easy</t>
  </si>
  <si>
    <t>KB C – Squat, Single-Leg &amp; Carry (~20', no-run day, moderate legs — stop every set ~2 reps shy of failure): Goblet squat 2×10 | Reverse lunge (goblet) 1×8 each | Glute bridge (KB on hips) 2×12 | Suitcase carry 2×30s each | Plank 2×30s — DOWN WEEK: 1 fewer set</t>
  </si>
  <si>
    <t>TT pace − 5 to 10 sec/mi (≈3K–5K effort)</t>
  </si>
  <si>
    <t>30/30s, 1' reps, 2–4' reps, 5×3'</t>
  </si>
  <si>
    <t>Every other week (Thursday, A weeks)</t>
  </si>
  <si>
    <t>Short Sprints / Accelerations</t>
  </si>
  <si>
    <t>Recruit fast-twitch fibers, running economy, form</t>
  </si>
  <si>
    <t>RPE 8–9 for 8–20s, full recovery</t>
  </si>
  <si>
    <t>Effort-based (not paced)</t>
  </si>
  <si>
    <t>Fast and relaxed — roughly mile-race effort or hill sprint</t>
  </si>
  <si>
    <t>Hill sprints 6–8×8–10s, flat 6–8×15–20s; 4–5 strides after select easy runs</t>
  </si>
  <si>
    <t>Every other week (Thursday, B weeks) + strides weekly</t>
  </si>
  <si>
    <t>2 Family-First Maintenance</t>
  </si>
  <si>
    <t>14-day rotation</t>
  </si>
  <si>
    <t>No running.</t>
  </si>
  <si>
    <t>Week A (even weeks)</t>
  </si>
  <si>
    <t>Tue: Threshold  |  Thu: VO2 Max  |  Wed + Sat: easy with strides</t>
  </si>
  <si>
    <t>KB A – Hinge &amp; Press (~20', no-run day, any time): KB swings (two-hand) 3×15 | Double-KB deadlift 2×10 | Single-arm press 2×6 each | Suitcase carry 2×30s each</t>
  </si>
  <si>
    <t>Week B (odd weeks)</t>
  </si>
  <si>
    <t>Tue: Threshold  |  Thu: Sprints/Strides  |  Sat: easy with strides</t>
  </si>
  <si>
    <t>Down weeks (every 4th)</t>
  </si>
  <si>
    <t>Same structure, ~25–30% less volume and reps. Race/test weeks replace Thu or Sat.</t>
  </si>
  <si>
    <t>Quality: Threshold</t>
  </si>
  <si>
    <t>Kettlebell placement</t>
  </si>
  <si>
    <t>Mon: KB A (hinge &amp; press)  |  Wed: KB B (upper &amp; core, workday-friendly)  |  Fri: KB C (squat/single-leg/carry, moderate)  |  None on Tue/Thu quality days or before the long run</t>
  </si>
  <si>
    <t>Paces are estimates built from the assumption in B4. Always let effort/RPE win over the watch on hot, hilly, or tired days.</t>
  </si>
  <si>
    <t>Only quality day this week (family-first block).</t>
  </si>
  <si>
    <t>KB B – Upper &amp; Core (~15', after the easy run, at lunch, or split into two 8–10' desk-break mini-blocks): Halos 2×8 each way | Single-arm press 2×6 each | One-arm row 2×8 each | Plank 2×30s</t>
  </si>
  <si>
    <t>KB C – Squat, Single-Leg &amp; Carry (~20', no-run day, moderate legs — stop every set ~2 reps shy of failure): Goblet squat 2×10 | Reverse lunge (goblet) 2×8 each | Glute bridge (KB on hips) 2×12 | Plank 2×30s</t>
  </si>
  <si>
    <t>Easy Run (optional)</t>
  </si>
  <si>
    <t>Easy aerobic run 30' (Zone 2, talk-test pace) | OPTIONAL: skip if family time takes priority</t>
  </si>
  <si>
    <t xml:space="preserve">Flexible: swap Sat/Sun if needed. </t>
  </si>
  <si>
    <t>Quality: VO2 Max (short touch)</t>
  </si>
  <si>
    <t>WU 10' easy jog + drills | 10×30s @ VO2 effort (~3K–5K race effort) (30s easy jog between) | CD 10' easy</t>
  </si>
  <si>
    <t>Short VO2 dose only — keeps the system alive without fatigue.</t>
  </si>
  <si>
    <t>Down week</t>
  </si>
  <si>
    <t>WU 10' easy jog + drills | 2×8' @ threshold (2' easy jog between) | CD 8' easy</t>
  </si>
  <si>
    <t>KB A – Hinge &amp; Press (~15', no-run day, any time): KB swings (two-hand) 2×15 | Double-KB deadlift 1×10 | Single-arm press 1×6 each | Suitcase carry 1×30s each — LIGHT/optional week: 1 fewer set, easy effort</t>
  </si>
  <si>
    <t>Holiday week: no quality session.</t>
  </si>
  <si>
    <t>KB B – Upper &amp; Core (~10', after the easy run, at lunch, or split into two 8–10' desk-break mini-blocks): Halos 1×8 each way | Single-arm press 1×6 each | One-arm row 1×8 each | Plank 1×30s — LIGHT/optional week: 1 fewer set, easy effort</t>
  </si>
  <si>
    <t>Rest (Thanksgiving)</t>
  </si>
  <si>
    <t>Family day. Optional 20–30' walk or easy turkey-trot jog (no racing).</t>
  </si>
  <si>
    <t>KB C – Squat, Single-Leg &amp; Carry (~15', no-run day, moderate legs — stop every set ~2 reps shy of failure): Goblet squat 1×10 | Reverse lunge (goblet) 1×8 each | Glute bridge (KB on hips) 1×12 | Plank 1×30s — LIGHT/optional week: 1 fewer set, easy effort</t>
  </si>
  <si>
    <t>Easy aerobic run 25' (Zone 2, talk-test pace) | OPTIONAL: skip if family time takes priority</t>
  </si>
  <si>
    <t>Down week: cut volume ~25%.</t>
  </si>
  <si>
    <t>Long run 50' easy (Zone 2). Steady and relaxed — finish feeling you could run 10–15' more.</t>
  </si>
  <si>
    <t>Maintenance</t>
  </si>
  <si>
    <t>Threshold only</t>
  </si>
  <si>
    <t>Fewer run days, 1 quality session, shorter long run. Hold fitness, no big jumps. Skip freely when life happens.</t>
  </si>
  <si>
    <t>Short VO2 only</t>
  </si>
  <si>
    <t>Rest</t>
  </si>
  <si>
    <t>Holiday (light)</t>
  </si>
  <si>
    <t>Full rest. Merry Christmas!</t>
  </si>
  <si>
    <t>None (holiday)</t>
  </si>
  <si>
    <t>Long run 45' easy (Zone 2). Steady and relaxed — finish feeling you could run 10–15' more.</t>
  </si>
  <si>
    <t>Quality-lite: Strides</t>
  </si>
  <si>
    <t>Easy aerobic run 30' (Zone 2, talk-test pace) | finish with 5×15s strides (relaxed-fast, 45–60s walk/jog between)</t>
  </si>
  <si>
    <t>Strides-only 'quality' to ease back toward January.</t>
  </si>
  <si>
    <t>Thanksgiving week: lightest of the fall.</t>
  </si>
  <si>
    <t>3 Base Build</t>
  </si>
  <si>
    <t>KB A – Hinge &amp; Press (~35', no-run day, any time): KB swings (two-hand) 4×15 | Double-KB deadlift (3s lowering) 3×8 | Double-KB press 3×5 | One-arm row 3×8 each | Turkish get-up 2×2 each | Double farmer carry 3×40s</t>
  </si>
  <si>
    <t>WU 10' easy jog + drills | 3×7' @ threshold (1' easy jog between) | CD 7' easy</t>
  </si>
  <si>
    <t>Easy aerobic run 35' (Zone 2, talk-test pace) | finish with 5×15s strides (relaxed-fast, 45–60s walk/jog between)</t>
  </si>
  <si>
    <t>KB B – Upper &amp; Core (~20', after the easy run, at lunch, or split into two 8–10' desk-break mini-blocks): Halos 2×8 each way | Double-KB press 3×5 | Double-KB bent-over row 3×8 | Turkish get-up 2×2 each | Russian twist 3×20 | Plank 3×40s</t>
  </si>
  <si>
    <t>WU 10' easy jog + drills | 8×1' @ VO2 effort (~3K–5K race effort) (1' easy jog between) | CD 8' easy</t>
  </si>
  <si>
    <t>KB C – Squat, Single-Leg &amp; Carry (~30', no-run day, moderate legs — stop every set ~2 reps shy of failure): Double-KB front squat 3×8 | Reverse lunge (double rack) 3×6 each | Single-leg glute bridge 3×8 each | Calf raise (hold KB) 3×12 | Suitcase carry 3×40s each | Side plank 3×20s each</t>
  </si>
  <si>
    <t>KB A – Hinge &amp; Press (~35', no-run day, any time): KB swings (two-hand) 4×17 | Double-KB deadlift (3s lowering) 3×9 | Double-KB press 3×6 | One-arm row 3×9 each | Turkish get-up 2×2 each | Double farmer carry 3×45s</t>
  </si>
  <si>
    <t>WU 10' easy jog + drills | 2×10' @ threshold (2' easy jog between) | CD 8' easy</t>
  </si>
  <si>
    <t>Easy aerobic run 35' (Zone 2, talk-test pace)</t>
  </si>
  <si>
    <t>KB B – Upper &amp; Core (~20', after the easy run, at lunch, or split into two 8–10' desk-break mini-blocks): Halos 2×8 each way | Double-KB press 3×6 | Double-KB bent-over row 3×9 | Turkish get-up 2×2 each | Russian twist 3×22 | Plank 3×45s</t>
  </si>
  <si>
    <t>WU 15' easy jog + drills | 6×8s hill sprints (steep, near-max but relaxed; walk down, ≥90s recovery; use flat 95% accelerations if no hill) | CD 13' easy</t>
  </si>
  <si>
    <t>KB C – Squat, Single-Leg &amp; Carry (~30', no-run day, moderate legs — stop every set ~2 reps shy of failure): Double-KB front squat 3×9 | Reverse lunge (double rack) 3×7 each | Single-leg glute bridge 3×9 each | Calf raise (hold KB) 3×14 | Suitcase carry 3×45s each | Side plank 3×25s each</t>
  </si>
  <si>
    <t>KB A – Hinge &amp; Press (~35', no-run day, any time): KB swings (two-hand) 4×19 | Double-KB deadlift (3s lowering) 3×10 | Double-KB press 3×7 | One-arm row 3×10 each | Turkish get-up 2×2 each | Double farmer carry 3×50s</t>
  </si>
  <si>
    <t>WU 10' easy jog + drills | 20' continuous tempo @ threshold | CD 8' easy</t>
  </si>
  <si>
    <t>KB B – Upper &amp; Core (~20', after the easy run, at lunch, or split into two 8–10' desk-break mini-blocks): Halos 2×8 each way | Double-KB press 3×7 | Double-KB bent-over row 3×10 | Turkish get-up 2×2 each | Russian twist 3×24 | Plank 3×50s</t>
  </si>
  <si>
    <t>WU 10' easy jog + drills | 10×1' @ VO2 effort (~3K–5K race effort) (1' easy jog between) | CD 8' easy</t>
  </si>
  <si>
    <t>KB C – Squat, Single-Leg &amp; Carry (~30', no-run day, moderate legs — stop every set ~2 reps shy of failure): Double-KB front squat 3×10 | Reverse lunge (double rack) 3×8 each | Single-leg glute bridge 3×10 each | Calf raise (hold KB) 3×16 | Suitcase carry 3×50s each | Side plank 3×30s each</t>
  </si>
  <si>
    <t>Long run 70' easy (Zone 2). Steady and relaxed — finish feeling you could run 10–15' more.</t>
  </si>
  <si>
    <t>KB A – Hinge &amp; Press (~30', no-run day, any time): KB swings (two-hand) 3×15 | Double-KB deadlift (3s lowering) 2×8 | Double-KB press 2×5 | One-arm row 2×8 each | Turkish get-up 1×2 each | Double farmer carry 2×40s — DOWN WEEK: 1 fewer set</t>
  </si>
  <si>
    <t>WU 10' easy jog + drills | 3×5' @ threshold (1' easy jog between) | CD 8' easy</t>
  </si>
  <si>
    <t>KB B – Upper &amp; Core (~15', after the easy run, at lunch, or split into two 8–10' desk-break mini-blocks): Halos 1×8 each way | Double-KB press 2×5 | Double-KB bent-over row 2×8 | Turkish get-up 1×2 each | Russian twist 2×20 | Plank 2×40s — DOWN WEEK: 1 fewer set</t>
  </si>
  <si>
    <t>WU 15' easy jog + drills | 4×8s hill sprints (steep, near-max but relaxed; walk down, ≥90s recovery; use flat 95% accelerations if no hill) | CD 16' easy</t>
  </si>
  <si>
    <t>KB C – Squat, Single-Leg &amp; Carry (~25', no-run day, moderate legs — stop every set ~2 reps shy of failure): Double-KB front squat 2×8 | Reverse lunge (double rack) 2×6 each | Single-leg glute bridge 2×8 each | Calf raise (hold KB) 2×12 | Suitcase carry 2×40s each | Side plank 2×20s each — DOWN WEEK: 1 fewer set</t>
  </si>
  <si>
    <t>Easy aerobic run 25' (Zone 2, talk-test pace) | finish with 5×15s strides (relaxed-fast, 45–60s walk/jog between)</t>
  </si>
  <si>
    <t>Christmas week: minimal, optional runs only.</t>
  </si>
  <si>
    <t>Strides only</t>
  </si>
  <si>
    <t>Time Trial</t>
  </si>
  <si>
    <t>Hard steady (RPE 8–9)</t>
  </si>
  <si>
    <t>WU 12' easy jog + drills + 3 strides | 20' time trial, best SUSTAINABLE pace (even effort, don't go out too fast) | CD 8' easy | Record distance &amp; avg HR → enter distance on Zones sheet</t>
  </si>
  <si>
    <t>Benchmark replaces VO2 this week. Flat route, same course each retest.</t>
  </si>
  <si>
    <t>New Year week: easing back toward January build.</t>
  </si>
  <si>
    <t>WU 10' easy jog + drills | 2×11' @ threshold (2' easy jog between) | CD 6' easy</t>
  </si>
  <si>
    <t>WU 15' easy jog + drills | 8×8s hill sprints (steep, near-max but relaxed; walk down, ≥90s recovery; use flat 95% accelerations if no hill) | CD 9' easy</t>
  </si>
  <si>
    <t>Long run 75' easy (Zone 2). Steady and relaxed — finish feeling you could run 10–15' more.</t>
  </si>
  <si>
    <t>From ~60–75' on, practice fueling: water + roughly 30–60 g carbs/hr.</t>
  </si>
  <si>
    <t>Long run ramps toward 80'; threshold dose grows; VO2 reps and hill sprints progress slowly.</t>
  </si>
  <si>
    <t>WU 10' easy jog + drills | 22' continuous tempo @ threshold | CD 8' easy</t>
  </si>
  <si>
    <t>WU 10' easy jog + drills | 6×2' @ VO2 effort (~3K–5K race effort) (1:30 easy jog between) | CD 8' easy</t>
  </si>
  <si>
    <t>Long run 80' easy (Zone 2). Steady and relaxed — finish feeling you could run 10–15' more.</t>
  </si>
  <si>
    <t>4 Build I</t>
  </si>
  <si>
    <t>KB A – Hinge &amp; Press (~40', no-run day, any time): One-arm swings 4×10 each | Single-leg RDL (one KB) 3×8 each | Double-KB press 4×5 | Renegade row 3×5 each | Turkish get-up 3×2 each | Double farmer carry 4×40s</t>
  </si>
  <si>
    <t>WU 8' easy jog + drills | 3×8' @ threshold (1' easy jog between) | CD 6' easy</t>
  </si>
  <si>
    <t>Easy aerobic run 40' (Zone 2, talk-test pace) | finish with 5×15s strides (relaxed-fast, 45–60s walk/jog between)</t>
  </si>
  <si>
    <t>KB B – Upper &amp; Core (~25', after the easy run, at lunch, or split into two 8–10' desk-break mini-blocks): Halos 3×8 each way | Double-KB press 4×5 | Double-KB bent-over row 4×8 | Turkish get-up 3×2 each | Windmill 2×5 each | Dead bug 3×8 each</t>
  </si>
  <si>
    <t>WU 10' easy jog + drills | 5×3' @ VO2 effort (~3K–5K race effort) (2' easy jog between) | CD 7' easy</t>
  </si>
  <si>
    <t>KB C – Squat, Single-Leg &amp; Carry (~35', no-run day, moderate legs — stop every set ~2 reps shy of failure): Double-KB front squat 4×8 | Rear-foot-elevated split squat (goblet) 3×6 each | Single-leg calf raise 3×10 each | Step-up (stair/low box, double KB) 3×6 each | Rack carry (one KB) 3×40s each | Side plank 3×30s each</t>
  </si>
  <si>
    <t>KB A – Hinge &amp; Press (~40', no-run day, any time): One-arm swings 4×11 each | Single-leg RDL (one KB) 3×9 each | Double-KB press 4×6 | Renegade row 3×6 each | Turkish get-up 3×2 each | Double farmer carry 4×45s</t>
  </si>
  <si>
    <t>Test week</t>
  </si>
  <si>
    <t>Threshold + 20' time trial</t>
  </si>
  <si>
    <t>WU 8' easy jog + drills | 2×12' @ threshold (2' easy jog between) | CD 6' easy</t>
  </si>
  <si>
    <t>Easy aerobic run 40' (Zone 2, talk-test pace)</t>
  </si>
  <si>
    <t>KB B – Upper &amp; Core (~25', after the easy run, at lunch, or split into two 8–10' desk-break mini-blocks): Halos 3×8 each way | Double-KB press 4×6 | Double-KB bent-over row 4×9 | Turkish get-up 3×2 each | Windmill 2×5 each | Dead bug 3×8 each</t>
  </si>
  <si>
    <t>WU 15' easy jog + drills | 6×10s hill sprints (steep, near-max but relaxed; walk down, ≥90s recovery; use flat 95% accelerations if no hill) | CD 13' easy</t>
  </si>
  <si>
    <t>KB C – Squat, Single-Leg &amp; Carry (~35', no-run day, moderate legs — stop every set ~2 reps shy of failure): Double-KB front squat 4×9 | Rear-foot-elevated split squat (goblet) 3×7 each | Single-leg calf raise 3×12 each | Step-up (stair/low box, double KB) 3×7 each | Rack carry (one KB) 3×45s each | Side plank 3×35s each — If Sunday's long run is 85–90', drop 1 set from the squat/lunge lifts</t>
  </si>
  <si>
    <t>Long run 85' easy (Zone 2). Steady and relaxed — finish feeling you could run 10–15' more.</t>
  </si>
  <si>
    <t>KB A – Hinge &amp; Press (~40', no-run day, any time): One-arm swings 4×12 each | Single-leg RDL (one KB) 3×10 each | Double-KB press 4×7 | Renegade row 3×7 each | Turkish get-up 3×2 each | Double farmer carry 4×50s</t>
  </si>
  <si>
    <t>Benchmark: 20' time trial on Thu — sets your zones.</t>
  </si>
  <si>
    <t>WU 10' easy jog + drills | 24' continuous tempo @ threshold | CD 6' easy</t>
  </si>
  <si>
    <t>KB B – Upper &amp; Core (~25', after the easy run, at lunch, or split into two 8–10' desk-break mini-blocks): Halos 3×8 each way | Double-KB press 4×7 | Double-KB bent-over row 4×10 | Turkish get-up 3×2 each | Windmill 2×5 each | Dead bug 3×8 each</t>
  </si>
  <si>
    <t>WU 8' easy jog + drills | 6×3' @ VO2 effort (~3K–5K race effort) (1:30 easy jog between) | CD 6' easy</t>
  </si>
  <si>
    <t>KB C – Squat, Single-Leg &amp; Carry (~35', no-run day, moderate legs — stop every set ~2 reps shy of failure): Double-KB front squat 4×10 | Rear-foot-elevated split squat (goblet) 3×8 each | Single-leg calf raise 3×14 each | Step-up (stair/low box, double KB) 3×8 each | Rack carry (one KB) 3×50s each | Side plank 3×40s each — If Sunday's long run is 85–90', drop 1 set from the squat/lunge lifts</t>
  </si>
  <si>
    <t>Long run 90' easy (Zone 2). Steady and relaxed — finish feeling you could run 10–15' more.</t>
  </si>
  <si>
    <t>KB A – Hinge &amp; Press (~35', no-run day, any time): One-arm swings 3×10 each | Single-leg RDL (one KB) 2×8 each | Double-KB press 3×5 | Renegade row 2×5 each | Turkish get-up 2×2 each | Double farmer carry 3×40s — DOWN WEEK: 1 fewer set</t>
  </si>
  <si>
    <t>KB B – Upper &amp; Core (~20', after the easy run, at lunch, or split into two 8–10' desk-break mini-blocks): Halos 2×8 each way | Double-KB press 3×5 | Double-KB bent-over row 3×8 | Turkish get-up 2×2 each | Windmill 1×5 each | Dead bug 2×8 each — DOWN WEEK: 1 fewer set</t>
  </si>
  <si>
    <t>WU 15' easy jog + drills | 4×10s hill sprints (steep, near-max but relaxed; walk down, ≥90s recovery; use flat 95% accelerations if no hill) | CD 16' easy</t>
  </si>
  <si>
    <t>KB C – Squat, Single-Leg &amp; Carry (~30', no-run day, moderate legs — stop every set ~2 reps shy of failure): Double-KB front squat 3×8 | Rear-foot-elevated split squat (goblet) 2×6 each | Single-leg calf raise 2×10 each | Step-up (stair/low box, double KB) 2×6 each | Rack carry (one KB) 2×40s each | Side plank 2×30s each — DOWN WEEK: 1 fewer set</t>
  </si>
  <si>
    <t>At the 40' cap — progress by pace (3–5 sec/mi faster than last block if it feels controlled).</t>
  </si>
  <si>
    <t>WU 10' easy jog + drills | 4×4' @ VO2 effort (~3K–5K race effort) (2:30 easy jog between) | CD 6' easy</t>
  </si>
  <si>
    <t>WU 15' easy jog + drills | 8×10s hill sprints (steep, near-max but relaxed; walk down, ≥90s recovery; use flat 95% accelerations if no hill) | CD 9' easy</t>
  </si>
  <si>
    <t>WU 8' easy jog + drills | 25' continuous tempo @ threshold | CD 7' easy</t>
  </si>
  <si>
    <t>First 90' long run; VO2 moves to 3–4' reps; 5K test at end of block.</t>
  </si>
  <si>
    <t>WU 10' easy jog + drills | 7×2' @ VO2 effort (~3K–5K race effort) (1' easy jog between) | CD 8' easy</t>
  </si>
  <si>
    <t>KB A – Hinge &amp; Press (~15', no-run day, any time): One-arm swings 3×10 each | Single-leg RDL (one KB) 2×8 each | Double-KB press 3×5 | Renegade row 2×5 each | Turkish get-up 2×2 each | Double farmer carry 3×40s — LIGHT/optional week: 1 fewer set, easy effort</t>
  </si>
  <si>
    <t>KB B – Upper &amp; Core (~10', after the easy run, at lunch, or split into two 8–10' desk-break mini-blocks): Halos 2×8 each way | Double-KB press 3×5 | Double-KB bent-over row 3×8 | Turkish get-up 2×2 each | Windmill 1×5 each | Dead bug 2×8 each — LIGHT/optional week: 1 fewer set, easy effort</t>
  </si>
  <si>
    <t>Race-week sharpener only.</t>
  </si>
  <si>
    <t>Full rest (sleep, hydration, 10' mobility).</t>
  </si>
  <si>
    <t>Race</t>
  </si>
  <si>
    <t>WU 12' easy jog + strides | 5K race or solo time trial (even pacing) | CD 7' easy</t>
  </si>
  <si>
    <t>Optional: swap with a local 5K/parkrun. Use result to retune zones.</t>
  </si>
  <si>
    <t>Easy recovery after yesterday's 5K.</t>
  </si>
  <si>
    <t>5 Build II</t>
  </si>
  <si>
    <t>KB A – Hinge &amp; Press (~40', no-run day, any time): One-arm swings 5×10 each | Single-leg RDL (one KB) 4×8 each | Double-KB push press 4×5 | Renegade row 3×6 each | Turkish get-up 3×3 each | Double farmer carry 4×45s</t>
  </si>
  <si>
    <t>KB B – Upper &amp; Core (~25', after the easy run, at lunch, or split into two 8–10' desk-break mini-blocks): Halos 3×8 each way | Double-KB push press 4×5 | Double-KB bent-over row 4×10 | Bottoms-up press 2×5 each | Windmill 3×5 each | Russian twist 3×24</t>
  </si>
  <si>
    <t>KB C – Squat, Single-Leg &amp; Carry (~35', no-run day, moderate legs — stop every set ~2 reps shy of failure): Double-KB front squat (3s lowering) 4×8 | Rear-foot-elevated split squat (goblet) 4×6 each | Single-leg calf raise 3×12 each | Step-up (stair/low box, double KB) 3×8 each | Rack carry (one KB) 3×45s each | Side plank 3×35s each — If Sunday's long run is 85–90', drop 1 set from the squat/lunge lifts</t>
  </si>
  <si>
    <t>KB A – Hinge &amp; Press (~40', no-run day, any time): One-arm swings 5×11 each | Single-leg RDL (one KB) 4×9 each | Double-KB push press 4×6 | Renegade row 3×7 each | Turkish get-up 3×3 each | Double farmer carry 4×50s</t>
  </si>
  <si>
    <t>KB B – Upper &amp; Core (~25', after the easy run, at lunch, or split into two 8–10' desk-break mini-blocks): Halos 3×8 each way | Double-KB push press 4×6 | Double-KB bent-over row 4×11 | Bottoms-up press 2×5 each | Windmill 3×5 each | Russian twist 3×26</t>
  </si>
  <si>
    <t>WU 15' easy jog + drills | 6×15s flat accelerations (~95%, tall and smooth; 90s walk/jog recovery) | CD 12' easy</t>
  </si>
  <si>
    <t>KB C – Squat, Single-Leg &amp; Carry (~35', no-run day, moderate legs — stop every set ~2 reps shy of failure): Double-KB front squat (3s lowering) 4×9 | Rear-foot-elevated split squat (goblet) 4×7 each | Single-leg calf raise 3×14 each | Step-up (stair/low box, double KB) 3×9 each | Rack carry (one KB) 3×50s each | Side plank 3×40s each — If Sunday's long run is 85–90', drop 1 set from the squat/lunge lifts</t>
  </si>
  <si>
    <t>KB A – Hinge &amp; Press (~40', no-run day, any time): One-arm swings 5×12 each | Single-leg RDL (one KB) 4×10 each | Double-KB push press 4×7 | Renegade row 3×8 each | Turkish get-up 3×3 each | Double farmer carry 4×55s</t>
  </si>
  <si>
    <t>KB B – Upper &amp; Core (~25', after the easy run, at lunch, or split into two 8–10' desk-break mini-blocks): Halos 3×8 each way | Double-KB push press 4×7 | Double-KB bent-over row 4×12 | Bottoms-up press 2×5 each | Windmill 3×5 each | Russian twist 3×28</t>
  </si>
  <si>
    <t>WU 10' easy jog + drills | 4×4' @ VO2 effort (~3K–5K race effort) (2' easy jog between) | CD 8' easy</t>
  </si>
  <si>
    <t>KB C – Squat, Single-Leg &amp; Carry (~35', no-run day, moderate legs — stop every set ~2 reps shy of failure): Double-KB front squat (3s lowering) 4×10 | Rear-foot-elevated split squat (goblet) 4×8 each | Single-leg calf raise 3×16 each | Step-up (stair/low box, double KB) 3×10 each | Rack carry (one KB) 3×55s each | Side plank 3×45s each</t>
  </si>
  <si>
    <t>KB A – Hinge &amp; Press (~35', no-run day, any time): One-arm swings 4×10 each | Single-leg RDL (one KB) 3×8 each | Double-KB push press 3×5 | Renegade row 2×6 each | Turkish get-up 2×3 each | Double farmer carry 3×45s — DOWN WEEK: 1 fewer set</t>
  </si>
  <si>
    <t>KB B – Upper &amp; Core (~20', after the easy run, at lunch, or split into two 8–10' desk-break mini-blocks): Halos 2×8 each way | Double-KB push press 3×5 | Double-KB bent-over row 3×10 | Bottoms-up press 1×5 each | Windmill 2×5 each | Russian twist 2×24 — DOWN WEEK: 1 fewer set</t>
  </si>
  <si>
    <t>WU 15' easy jog + drills | 4×15s flat accelerations (~95%, tall and smooth; 90s walk/jog recovery) | CD 16' easy</t>
  </si>
  <si>
    <t>KB C – Squat, Single-Leg &amp; Carry (~30', no-run day, moderate legs — stop every set ~2 reps shy of failure): Double-KB front squat (3s lowering) 3×8 | Rear-foot-elevated split squat (goblet) 3×6 each | Single-leg calf raise 2×12 each | Step-up (stair/low box, double KB) 2×8 each | Rack carry (one KB) 2×45s each | Side plank 2×35s each — DOWN WEEK: 1 fewer set</t>
  </si>
  <si>
    <t>Race / test week</t>
  </si>
  <si>
    <t>Light threshold + 5K race/test</t>
  </si>
  <si>
    <t>5K race/test Sat 4/24 (optional). Down-week volume.</t>
  </si>
  <si>
    <t>WU 15' easy jog + drills | 8×15s flat accelerations (~95%, tall and smooth; 90s walk/jog recovery) | CD 9' easy</t>
  </si>
  <si>
    <t>KB C – Squat, Single-Leg &amp; Carry (~35', no-run day, moderate legs — stop every set ~2 reps shy of failure): Double-KB front squat (3s lowering) 4×9 | Rear-foot-elevated split squat (goblet) 4×7 each | Single-leg calf raise 3×14 each | Step-up (stair/low box, double KB) 3×9 each | Rack carry (one KB) 3×50s each | Side plank 3×40s each</t>
  </si>
  <si>
    <t>Hold 80–90' long runs; threshold at 40' cap; flat accelerations replace hills; 10K test at end.</t>
  </si>
  <si>
    <t>KB C – Squat, Single-Leg &amp; Carry (~35', no-run day, moderate legs — stop every set ~2 reps shy of failure): Double-KB front squat (3s lowering) 4×10 | Rear-foot-elevated split squat (goblet) 4×8 each | Single-leg calf raise 3×16 each | Step-up (stair/low box, double KB) 3×10 each | Rack carry (one KB) 3×55s each | Side plank 3×45s each — If Sunday's long run is 85–90', drop 1 set from the squat/lunge lifts</t>
  </si>
  <si>
    <t>WU 15' easy jog + drills | 6×20s flat accelerations (~95%, tall and smooth; 90s walk/jog recovery) | CD 12' easy</t>
  </si>
  <si>
    <t>KB A – Hinge &amp; Press (~15', no-run day, any time): One-arm swings 4×10 each | Single-leg RDL (one KB) 3×8 each | Double-KB push press 3×5 | Renegade row 2×6 each | Turkish get-up 2×3 each | Double farmer carry 3×45s — LIGHT/optional week: 1 fewer set, easy effort</t>
  </si>
  <si>
    <t>KB B – Upper &amp; Core (~10', after the easy run, at lunch, or split into two 8–10' desk-break mini-blocks): Halos 2×8 each way | Double-KB push press 3×5 | Double-KB bent-over row 3×10 | Bottoms-up press 1×5 each | Windmill 2×5 each | Russian twist 2×24 — LIGHT/optional week: 1 fewer set, easy effort</t>
  </si>
  <si>
    <t>WU 12' easy jog + strides | 10K race or solo time trial (even pacing) | CD 5' easy</t>
  </si>
  <si>
    <t>Optional: swap with a local 10K. Use result to retune zones.</t>
  </si>
  <si>
    <t>Easy recovery after yesterday's 10K.</t>
  </si>
  <si>
    <t>6 Half-Marathon Block</t>
  </si>
  <si>
    <t>KB A – Hinge &amp; Press (~35', no-run day, any time): One-arm swings 4×10 each | Single-leg RDL (one KB) 3×10 each | Double-KB press 3×6 | Renegade row 3×6 each | Turkish get-up 2×3 each | Double farmer carry 4×45s</t>
  </si>
  <si>
    <t>KB B – Upper &amp; Core (~20', after the easy run, at lunch, or split into two 8–10' desk-break mini-blocks): Halos 2×8 each way | Double-KB press 3×6 | Double-KB bent-over row 3×10 | Turkish get-up 2×3 each | Windmill 2×5 each | Plank 3×45s</t>
  </si>
  <si>
    <t>WU 10' easy jog + drills | 8×2' @ VO2 effort (~3K–5K race effort) (1' easy jog between) | CD 7' easy</t>
  </si>
  <si>
    <t>KB C – Squat, Single-Leg &amp; Carry (~30', no-run day, moderate legs — stop every set ~2 reps shy of failure): Double-KB front squat 3×8 | Rear-foot-elevated split squat (goblet) 3×6 each | Single-leg calf raise 3×12 each | Step-up (stair/low box, double KB) 3×8 each | Rack carry (one KB) 3×45s each | Side plank 3×35s each — If Sunday's long run is 85–90', drop 1 set from the squat/lunge lifts</t>
  </si>
  <si>
    <t>KB A – Hinge &amp; Press (~35', no-run day, any time): One-arm swings 4×11 each | Single-leg RDL (one KB) 3×10 each | Double-KB press 3×6 | Renegade row 3×6 each | Turkish get-up 2×3 each | Double farmer carry 4×45s</t>
  </si>
  <si>
    <t>KB A – Hinge &amp; Press (~35', no-run day, any time): One-arm swings 4×12 each | Single-leg RDL (one KB) 3×10 each | Double-KB press 3×6 | Renegade row 3×6 each | Turkish get-up 2×3 each | Double farmer carry 4×45s</t>
  </si>
  <si>
    <t>KB A – Hinge &amp; Press (~30', no-run day, any time): One-arm swings 3×10 each | Single-leg RDL (one KB) 2×10 each | Double-KB press 2×6 | Renegade row 2×6 each | Turkish get-up 1×3 each | Double farmer carry 3×45s — DOWN WEEK: 1 fewer set</t>
  </si>
  <si>
    <t>Light threshold + 10K race/test</t>
  </si>
  <si>
    <t>KB B – Upper &amp; Core (~15', after the easy run, at lunch, or split into two 8–10' desk-break mini-blocks): Halos 1×8 each way | Double-KB press 2×6 | Double-KB bent-over row 2×10 | Turkish get-up 1×3 each | Windmill 1×5 each | Plank 2×45s — DOWN WEEK: 1 fewer set</t>
  </si>
  <si>
    <t>WU 15' easy jog + drills | 4×20s flat accelerations (~95%, tall and smooth; 90s walk/jog recovery) | CD 15' easy</t>
  </si>
  <si>
    <t>KB C – Squat, Single-Leg &amp; Carry (~25', no-run day, moderate legs — stop every set ~2 reps shy of failure): Double-KB front squat 2×8 | Rear-foot-elevated split squat (goblet) 2×6 each | Single-leg calf raise 2×12 each | Step-up (stair/low box, double KB) 2×8 each | Rack carry (one KB) 2×45s each | Side plank 2×35s each — DOWN WEEK: 1 fewer set</t>
  </si>
  <si>
    <t>10K race/test Sat 7/17 (optional). Down-week volume.</t>
  </si>
  <si>
    <t>Aerobic strength for the half: 85–90' long runs, steady threshold work, sharpening in final 2 weeks.</t>
  </si>
  <si>
    <t>WU 15' easy jog + drills | 8×20s flat accelerations (~95%, tall and smooth; 90s walk/jog recovery) | CD 8' easy</t>
  </si>
  <si>
    <t>KB C – Squat, Single-Leg &amp; Carry (~30', no-run day, moderate legs — stop every set ~2 reps shy of failure): Double-KB front squat 3×8 | Rear-foot-elevated split squat (goblet) 3×6 each | Single-leg calf raise 3×12 each | Step-up (stair/low box, double KB) 3×8 each | Rack carry (one KB) 3×45s each | Side plank 3×35s each</t>
  </si>
  <si>
    <t>KB A – Hinge &amp; Press (~15', no-run day, any time): One-arm swings 3×12 each | Single-leg RDL (one KB) 2×10 each | Double-KB press 2×6 | Renegade row 2×6 each | Turkish get-up 1×3 each | Double farmer carry 3×45s — LIGHT/optional week: 1 fewer set, easy effort</t>
  </si>
  <si>
    <t>Easy aerobic run 25' (Zone 2, talk-test pace)</t>
  </si>
  <si>
    <t>KB B – Upper &amp; Core (~10', after the easy run, at lunch, or split into two 8–10' desk-break mini-blocks): Halos 1×8 each way | Double-KB press 2×6 | Double-KB bent-over row 2×10 | Turkish get-up 1×3 each | Windmill 1×5 each | Plank 2×45s — LIGHT/optional week: 1 fewer set, easy effort</t>
  </si>
  <si>
    <t>Taper.</t>
  </si>
  <si>
    <t>Easy aerobic run 20' (Zone 2, talk-test pace) | finish with 4×15s strides (relaxed-fast, 45–60s walk/jog between)</t>
  </si>
  <si>
    <t>Shakeout.</t>
  </si>
  <si>
    <t>Half marathon (optional capstone): WU 10–15' + strides, then race. Or run a steady 90' progression solo if you'd rather skip the race.</t>
  </si>
  <si>
    <t>Race may exceed 90' by design. Start controlled for first 5K.</t>
  </si>
  <si>
    <t>Taper + half marathon</t>
  </si>
  <si>
    <t>Half marathon Sun 10/3 (optional capstone). Taper week.</t>
  </si>
  <si>
    <t>Year totals</t>
  </si>
  <si>
    <t>Total run hours</t>
  </si>
  <si>
    <t>Avg run min / week (W1–W52)</t>
  </si>
  <si>
    <t>Peak long run (min)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</si>
</sst>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\+0;\-0;0"/>
    <numFmt numFmtId="166" formatCode="0.0"/>
  </numFmts>
  <fonts count="10">
    <font>
      <sz val="11.0"/>
      <color theme="1"/>
      <name val="Calibri"/>
      <scheme val="minor"/>
    </font>
    <font>
      <b/>
      <sz val="14.0"/>
      <color theme="1"/>
      <name val="Arial"/>
    </font>
    <font>
      <sz val="10.0"/>
      <color theme="1"/>
      <name val="Arial"/>
    </font>
    <font>
      <b/>
      <sz val="10.0"/>
      <color rgb="FF1F3864"/>
      <name val="Arial"/>
    </font>
    <font>
      <color theme="1"/>
      <name val="Arial"/>
    </font>
    <font>
      <i/>
      <sz val="9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rgb="FF0000FF"/>
      <name val="Arial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top" wrapText="0"/>
    </xf>
    <xf borderId="1" fillId="0" fontId="7" numFmtId="0" xfId="0" applyAlignment="1" applyBorder="1" applyFont="1">
      <alignment shrinkToFit="0" vertical="top" wrapText="1"/>
    </xf>
    <xf borderId="1" fillId="0" fontId="2" numFmtId="164" xfId="0" applyAlignment="1" applyBorder="1" applyFont="1" applyNumberForma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center" shrinkToFit="0" vertical="top" wrapText="0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0"/>
    </xf>
    <xf borderId="1" fillId="3" fontId="2" numFmtId="0" xfId="0" applyAlignment="1" applyBorder="1" applyFill="1" applyFont="1">
      <alignment horizontal="center" shrinkToFit="0" vertical="top" wrapText="0"/>
    </xf>
    <xf borderId="1" fillId="3" fontId="2" numFmtId="164" xfId="0" applyAlignment="1" applyBorder="1" applyFill="1" applyFont="1" applyNumberFormat="1">
      <alignment horizontal="center" readingOrder="0" shrinkToFit="0" vertical="top" wrapText="0"/>
    </xf>
    <xf borderId="1" fillId="3" fontId="2" numFmtId="0" xfId="0" applyAlignment="1" applyBorder="1" applyFill="1" applyFont="1">
      <alignment shrinkToFit="0" vertical="top" wrapText="0"/>
    </xf>
    <xf borderId="1" fillId="3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horizontal="center" shrinkToFit="0" vertical="top" wrapText="0"/>
    </xf>
    <xf borderId="1" fillId="4" fontId="2" numFmtId="164" xfId="0" applyAlignment="1" applyBorder="1" applyFill="1" applyFont="1" applyNumberFormat="1">
      <alignment horizontal="center" readingOrder="0" shrinkToFit="0" vertical="top" wrapText="0"/>
    </xf>
    <xf borderId="1" fillId="4" fontId="2" numFmtId="0" xfId="0" applyAlignment="1" applyBorder="1" applyFill="1" applyFont="1">
      <alignment shrinkToFit="0" vertical="top" wrapText="0"/>
    </xf>
    <xf borderId="1" fillId="4" fontId="2" numFmtId="0" xfId="0" applyAlignment="1" applyBorder="1" applyFill="1" applyFont="1">
      <alignment shrinkToFit="0" vertical="top" wrapText="1"/>
    </xf>
    <xf borderId="1" fillId="5" fontId="2" numFmtId="0" xfId="0" applyAlignment="1" applyBorder="1" applyFill="1" applyFont="1">
      <alignment horizontal="center" shrinkToFit="0" vertical="top" wrapText="0"/>
    </xf>
    <xf borderId="1" fillId="5" fontId="2" numFmtId="164" xfId="0" applyAlignment="1" applyBorder="1" applyFill="1" applyFont="1" applyNumberFormat="1">
      <alignment horizontal="center" readingOrder="0" shrinkToFit="0" vertical="top" wrapText="0"/>
    </xf>
    <xf borderId="1" fillId="5" fontId="2" numFmtId="0" xfId="0" applyAlignment="1" applyBorder="1" applyFill="1" applyFont="1">
      <alignment shrinkToFit="0" vertical="top" wrapText="0"/>
    </xf>
    <xf borderId="1" fillId="5" fontId="2" numFmtId="0" xfId="0" applyAlignment="1" applyBorder="1" applyFill="1" applyFont="1">
      <alignment shrinkToFit="0" vertical="top" wrapText="1"/>
    </xf>
    <xf borderId="1" fillId="0" fontId="2" numFmtId="165" xfId="0" applyAlignment="1" applyBorder="1" applyFont="1" applyNumberFormat="1">
      <alignment horizontal="center" shrinkToFit="0" vertical="top" wrapText="0"/>
    </xf>
    <xf borderId="0" fillId="0" fontId="7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2" fillId="6" fontId="8" numFmtId="0" xfId="0" applyAlignment="1" applyBorder="1" applyFill="1" applyFont="1">
      <alignment shrinkToFit="0" vertical="bottom" wrapText="0"/>
    </xf>
    <xf borderId="0" fillId="0" fontId="2" numFmtId="1" xfId="0" applyAlignment="1" applyFont="1" applyNumberFormat="1">
      <alignment shrinkToFit="0" vertical="bottom" wrapText="0"/>
    </xf>
    <xf borderId="1" fillId="7" fontId="2" numFmtId="0" xfId="0" applyAlignment="1" applyBorder="1" applyFill="1" applyFont="1">
      <alignment horizontal="center" shrinkToFit="0" vertical="top" wrapText="0"/>
    </xf>
    <xf borderId="1" fillId="7" fontId="2" numFmtId="164" xfId="0" applyAlignment="1" applyBorder="1" applyFill="1" applyFont="1" applyNumberFormat="1">
      <alignment horizontal="center" shrinkToFit="0" vertical="top" wrapText="0"/>
    </xf>
    <xf borderId="1" fillId="7" fontId="2" numFmtId="0" xfId="0" applyAlignment="1" applyBorder="1" applyFill="1" applyFont="1">
      <alignment shrinkToFit="0" vertical="top" wrapText="1"/>
    </xf>
    <xf borderId="1" fillId="7" fontId="2" numFmtId="0" xfId="0" applyAlignment="1" applyBorder="1" applyFill="1" applyFont="1">
      <alignment shrinkToFit="0" vertical="top" wrapText="0"/>
    </xf>
    <xf borderId="1" fillId="7" fontId="2" numFmtId="165" xfId="0" applyAlignment="1" applyBorder="1" applyFill="1" applyFont="1" applyNumberFormat="1">
      <alignment horizontal="center" shrinkToFit="0" vertical="top" wrapText="0"/>
    </xf>
    <xf borderId="1" fillId="8" fontId="2" numFmtId="0" xfId="0" applyAlignment="1" applyBorder="1" applyFill="1" applyFont="1">
      <alignment horizontal="center" shrinkToFit="0" vertical="top" wrapText="0"/>
    </xf>
    <xf borderId="1" fillId="8" fontId="2" numFmtId="0" xfId="0" applyAlignment="1" applyBorder="1" applyFill="1" applyFont="1">
      <alignment shrinkToFit="0" vertical="top" wrapText="0"/>
    </xf>
    <xf borderId="1" fillId="8" fontId="2" numFmtId="0" xfId="0" applyAlignment="1" applyBorder="1" applyFill="1" applyFont="1">
      <alignment shrinkToFit="0" vertical="top" wrapText="1"/>
    </xf>
    <xf borderId="1" fillId="8" fontId="2" numFmtId="164" xfId="0" applyAlignment="1" applyBorder="1" applyFill="1" applyFont="1" applyNumberFormat="1">
      <alignment horizontal="center" shrinkToFit="0" vertical="top" wrapText="0"/>
    </xf>
    <xf borderId="1" fillId="8" fontId="2" numFmtId="165" xfId="0" applyAlignment="1" applyBorder="1" applyFill="1" applyFont="1" applyNumberFormat="1">
      <alignment horizontal="center" shrinkToFit="0" vertical="top" wrapText="0"/>
    </xf>
    <xf borderId="0" fillId="0" fontId="7" numFmtId="0" xfId="0" applyAlignment="1" applyFont="1">
      <alignment horizontal="center" shrinkToFit="0" vertical="bottom" wrapText="0"/>
    </xf>
    <xf borderId="0" fillId="0" fontId="2" numFmtId="166" xfId="0" applyAlignment="1" applyFont="1" applyNumberFormat="1">
      <alignment horizontal="center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2" numFmtId="1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0.0"/>
    <col customWidth="1" min="2" max="2" width="8.71"/>
    <col customWidth="1" min="3" max="3" width="73.43"/>
    <col customWidth="1" min="4" max="26" width="8.71"/>
  </cols>
  <sheetData>
    <row r="1">
      <c r="A1" s="1" t="s">
        <v>0</v>
      </c>
    </row>
    <row r="2">
      <c r="A2" s="2" t="s">
        <v>1</v>
      </c>
    </row>
    <row r="3">
      <c r="A3" s="2"/>
    </row>
    <row r="4">
      <c r="A4" s="3" t="s">
        <v>3</v>
      </c>
    </row>
    <row r="5">
      <c r="A5" s="5" t="s">
        <v>4</v>
      </c>
      <c r="C5" s="6"/>
    </row>
    <row r="6">
      <c r="A6" s="5" t="s">
        <v>6</v>
      </c>
      <c r="C6" s="6"/>
    </row>
    <row r="7">
      <c r="A7" s="5" t="s">
        <v>8</v>
      </c>
      <c r="C7" s="6"/>
    </row>
    <row r="8">
      <c r="A8" s="5" t="s">
        <v>9</v>
      </c>
      <c r="C8" s="6"/>
    </row>
    <row r="9">
      <c r="A9" s="5" t="s">
        <v>12</v>
      </c>
      <c r="C9" s="6"/>
    </row>
    <row r="10">
      <c r="A10" s="5" t="s">
        <v>13</v>
      </c>
      <c r="C10" s="6"/>
    </row>
    <row r="11">
      <c r="A11" s="5" t="s">
        <v>14</v>
      </c>
      <c r="C11" s="6"/>
    </row>
    <row r="12">
      <c r="A12" s="2"/>
    </row>
    <row r="13">
      <c r="A13" s="3" t="s">
        <v>15</v>
      </c>
    </row>
    <row r="14">
      <c r="A14" s="2" t="s">
        <v>18</v>
      </c>
    </row>
    <row r="15">
      <c r="A15" s="2" t="s">
        <v>19</v>
      </c>
    </row>
    <row r="16">
      <c r="A16" s="2" t="s">
        <v>20</v>
      </c>
    </row>
    <row r="17">
      <c r="A17" s="2" t="s">
        <v>21</v>
      </c>
    </row>
    <row r="18">
      <c r="A18" s="2" t="s">
        <v>22</v>
      </c>
    </row>
    <row r="19">
      <c r="A19" s="2" t="s">
        <v>23</v>
      </c>
    </row>
    <row r="20">
      <c r="A20" s="2"/>
    </row>
    <row r="21" ht="15.75" customHeight="1">
      <c r="A21" s="3" t="s">
        <v>24</v>
      </c>
    </row>
    <row r="22" ht="15.75" customHeight="1">
      <c r="A22" s="2" t="s">
        <v>28</v>
      </c>
    </row>
    <row r="23" ht="15.75" customHeight="1">
      <c r="A23" s="2" t="s">
        <v>31</v>
      </c>
    </row>
    <row r="24" ht="15.75" customHeight="1">
      <c r="A24" s="2" t="s">
        <v>34</v>
      </c>
    </row>
    <row r="25" ht="15.75" customHeight="1">
      <c r="A25" s="2" t="s">
        <v>36</v>
      </c>
    </row>
    <row r="26" ht="15.75" customHeight="1">
      <c r="A26" s="2" t="s">
        <v>40</v>
      </c>
    </row>
    <row r="27" ht="15.75" customHeight="1">
      <c r="A27" s="2" t="s">
        <v>43</v>
      </c>
    </row>
    <row r="28" ht="15.75" customHeight="1">
      <c r="A28" s="2"/>
    </row>
    <row r="29" ht="15.75" customHeight="1">
      <c r="A29" s="3" t="s">
        <v>46</v>
      </c>
    </row>
    <row r="30" ht="15.75" customHeight="1">
      <c r="A30" s="2" t="s">
        <v>52</v>
      </c>
    </row>
    <row r="31" ht="15.75" customHeight="1">
      <c r="A31" s="2"/>
    </row>
    <row r="32" ht="15.75" customHeight="1">
      <c r="A32" s="3" t="s">
        <v>56</v>
      </c>
    </row>
    <row r="33" ht="15.75" customHeight="1">
      <c r="A33" s="2" t="s">
        <v>58</v>
      </c>
    </row>
    <row r="34" ht="15.75" customHeight="1">
      <c r="A34" s="2" t="s">
        <v>60</v>
      </c>
    </row>
    <row r="35" ht="15.75" customHeight="1">
      <c r="A35" s="2" t="s">
        <v>63</v>
      </c>
    </row>
    <row r="36" ht="15.75" customHeight="1">
      <c r="A36" s="2" t="s">
        <v>65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7.0"/>
    <col customWidth="1" min="2" max="3" width="12.0"/>
    <col customWidth="1" min="4" max="4" width="26.0"/>
    <col customWidth="1" min="5" max="5" width="18.0"/>
    <col customWidth="1" min="6" max="6" width="28.0"/>
    <col customWidth="1" min="7" max="7" width="9.0"/>
    <col customWidth="1" min="8" max="9" width="11.0"/>
    <col customWidth="1" min="10" max="10" width="13.0"/>
    <col customWidth="1" min="11" max="11" width="9.0"/>
    <col customWidth="1" min="12" max="12" width="70.0"/>
    <col customWidth="1" min="13" max="26" width="8.71"/>
  </cols>
  <sheetData>
    <row r="1">
      <c r="A1" s="4" t="s">
        <v>2</v>
      </c>
    </row>
    <row r="2">
      <c r="A2" s="7" t="s">
        <v>7</v>
      </c>
    </row>
    <row r="3">
      <c r="A3" s="7" t="s">
        <v>10</v>
      </c>
    </row>
    <row r="4">
      <c r="A4" s="8" t="s">
        <v>16</v>
      </c>
      <c r="B4" s="8" t="s">
        <v>26</v>
      </c>
      <c r="C4" s="8" t="s">
        <v>29</v>
      </c>
      <c r="D4" s="8" t="s">
        <v>33</v>
      </c>
      <c r="E4" s="8" t="s">
        <v>37</v>
      </c>
      <c r="F4" s="8" t="s">
        <v>41</v>
      </c>
      <c r="G4" s="8" t="s">
        <v>44</v>
      </c>
      <c r="H4" s="8" t="s">
        <v>47</v>
      </c>
      <c r="I4" s="8" t="s">
        <v>49</v>
      </c>
      <c r="J4" s="8" t="s">
        <v>53</v>
      </c>
      <c r="K4" s="8" t="s">
        <v>62</v>
      </c>
      <c r="L4" s="8" t="s">
        <v>64</v>
      </c>
    </row>
    <row r="5">
      <c r="A5" s="9">
        <v>0.0</v>
      </c>
      <c r="B5" s="12">
        <v>46296.0</v>
      </c>
      <c r="C5" s="12">
        <v>46299.0</v>
      </c>
      <c r="D5" s="13" t="s">
        <v>69</v>
      </c>
      <c r="E5" s="14" t="s">
        <v>72</v>
      </c>
      <c r="F5" s="13" t="s">
        <v>75</v>
      </c>
      <c r="G5" s="9">
        <f>COUNTIFS('Daily Schedule'!$A$5:$A$372,A5,'Daily Schedule'!$F$5:$F$372,"&gt;0")</f>
        <v>3</v>
      </c>
      <c r="H5" s="9">
        <f>SUMIFS('Daily Schedule'!$F$5:$F$372,'Daily Schedule'!$A$5:$A$372,A5)</f>
        <v>115</v>
      </c>
      <c r="I5" s="9">
        <f>SUMIFS('Daily Schedule'!$F$5:$F$372,'Daily Schedule'!$A$5:$A$372,A5,'Daily Schedule'!$C$5:$C$372,"Sun")</f>
        <v>55</v>
      </c>
      <c r="J5" s="27" t="s">
        <v>81</v>
      </c>
      <c r="K5" s="9">
        <f>COUNTIFS('Daily Schedule'!$A$5:$A$372,A5,'Daily Schedule'!$I$5:$I$372,"KB*")</f>
        <v>1</v>
      </c>
      <c r="L5" s="13" t="s">
        <v>130</v>
      </c>
    </row>
    <row r="6">
      <c r="A6" s="9">
        <v>1.0</v>
      </c>
      <c r="B6" s="12">
        <v>46300.0</v>
      </c>
      <c r="C6" s="12">
        <v>46306.0</v>
      </c>
      <c r="D6" s="13" t="s">
        <v>69</v>
      </c>
      <c r="E6" s="14" t="s">
        <v>132</v>
      </c>
      <c r="F6" s="13" t="s">
        <v>133</v>
      </c>
      <c r="G6" s="9">
        <f>COUNTIFS('Daily Schedule'!$A$5:$A$372,A6,'Daily Schedule'!$F$5:$F$372,"&gt;0")</f>
        <v>5</v>
      </c>
      <c r="H6" s="9">
        <f>SUMIFS('Daily Schedule'!$F$5:$F$372,'Daily Schedule'!$A$5:$A$372,A6)</f>
        <v>192</v>
      </c>
      <c r="I6" s="9">
        <f>SUMIFS('Daily Schedule'!$F$5:$F$372,'Daily Schedule'!$A$5:$A$372,A6,'Daily Schedule'!$C$5:$C$372,"Sun")</f>
        <v>60</v>
      </c>
      <c r="J6" s="27">
        <f t="shared" ref="J6:J57" si="1">I6-I5</f>
        <v>5</v>
      </c>
      <c r="K6" s="9">
        <f>COUNTIFS('Daily Schedule'!$A$5:$A$372,A6,'Daily Schedule'!$I$5:$I$372,"KB*")</f>
        <v>3</v>
      </c>
      <c r="L6" s="13" t="s">
        <v>147</v>
      </c>
    </row>
    <row r="7">
      <c r="A7" s="9">
        <v>2.0</v>
      </c>
      <c r="B7" s="12">
        <v>46307.0</v>
      </c>
      <c r="C7" s="12">
        <v>46313.0</v>
      </c>
      <c r="D7" s="13" t="s">
        <v>69</v>
      </c>
      <c r="E7" s="14" t="s">
        <v>132</v>
      </c>
      <c r="F7" s="13" t="s">
        <v>148</v>
      </c>
      <c r="G7" s="9">
        <f>COUNTIFS('Daily Schedule'!$A$5:$A$372,A7,'Daily Schedule'!$F$5:$F$372,"&gt;0")</f>
        <v>5</v>
      </c>
      <c r="H7" s="9">
        <f>SUMIFS('Daily Schedule'!$F$5:$F$372,'Daily Schedule'!$A$5:$A$372,A7)</f>
        <v>190</v>
      </c>
      <c r="I7" s="9">
        <f>SUMIFS('Daily Schedule'!$F$5:$F$372,'Daily Schedule'!$A$5:$A$372,A7,'Daily Schedule'!$C$5:$C$372,"Sun")</f>
        <v>60</v>
      </c>
      <c r="J7" s="27">
        <f t="shared" si="1"/>
        <v>0</v>
      </c>
      <c r="K7" s="9">
        <f>COUNTIFS('Daily Schedule'!$A$5:$A$372,A7,'Daily Schedule'!$I$5:$I$372,"KB*")</f>
        <v>3</v>
      </c>
      <c r="L7" s="13" t="s">
        <v>147</v>
      </c>
    </row>
    <row r="8">
      <c r="A8" s="9">
        <v>3.0</v>
      </c>
      <c r="B8" s="12">
        <v>46314.0</v>
      </c>
      <c r="C8" s="12">
        <v>46320.0</v>
      </c>
      <c r="D8" s="13" t="s">
        <v>69</v>
      </c>
      <c r="E8" s="14" t="s">
        <v>132</v>
      </c>
      <c r="F8" s="13" t="s">
        <v>133</v>
      </c>
      <c r="G8" s="9">
        <f>COUNTIFS('Daily Schedule'!$A$5:$A$372,A8,'Daily Schedule'!$F$5:$F$372,"&gt;0")</f>
        <v>5</v>
      </c>
      <c r="H8" s="9">
        <f>SUMIFS('Daily Schedule'!$F$5:$F$372,'Daily Schedule'!$A$5:$A$372,A8)</f>
        <v>198</v>
      </c>
      <c r="I8" s="9">
        <f>SUMIFS('Daily Schedule'!$F$5:$F$372,'Daily Schedule'!$A$5:$A$372,A8,'Daily Schedule'!$C$5:$C$372,"Sun")</f>
        <v>65</v>
      </c>
      <c r="J8" s="27">
        <f t="shared" si="1"/>
        <v>5</v>
      </c>
      <c r="K8" s="9">
        <f>COUNTIFS('Daily Schedule'!$A$5:$A$372,A8,'Daily Schedule'!$I$5:$I$372,"KB*")</f>
        <v>3</v>
      </c>
      <c r="L8" s="13" t="s">
        <v>147</v>
      </c>
    </row>
    <row r="9">
      <c r="A9" s="32">
        <v>4.0</v>
      </c>
      <c r="B9" s="33">
        <v>46321.0</v>
      </c>
      <c r="C9" s="33">
        <v>46327.0</v>
      </c>
      <c r="D9" s="34" t="s">
        <v>69</v>
      </c>
      <c r="E9" s="35" t="s">
        <v>214</v>
      </c>
      <c r="F9" s="34" t="s">
        <v>148</v>
      </c>
      <c r="G9" s="32">
        <f>COUNTIFS('Daily Schedule'!$A$5:$A$372,A9,'Daily Schedule'!$F$5:$F$372,"&gt;0")</f>
        <v>5</v>
      </c>
      <c r="H9" s="32">
        <f>SUMIFS('Daily Schedule'!$F$5:$F$372,'Daily Schedule'!$A$5:$A$372,A9)</f>
        <v>167</v>
      </c>
      <c r="I9" s="32">
        <f>SUMIFS('Daily Schedule'!$F$5:$F$372,'Daily Schedule'!$A$5:$A$372,A9,'Daily Schedule'!$C$5:$C$372,"Sun")</f>
        <v>55</v>
      </c>
      <c r="J9" s="36">
        <f t="shared" si="1"/>
        <v>-10</v>
      </c>
      <c r="K9" s="32">
        <f>COUNTIFS('Daily Schedule'!$A$5:$A$372,A9,'Daily Schedule'!$I$5:$I$372,"KB*")</f>
        <v>3</v>
      </c>
      <c r="L9" s="34" t="s">
        <v>223</v>
      </c>
    </row>
    <row r="10">
      <c r="A10" s="9">
        <v>5.0</v>
      </c>
      <c r="B10" s="12">
        <v>46328.0</v>
      </c>
      <c r="C10" s="12">
        <v>46334.0</v>
      </c>
      <c r="D10" s="13" t="s">
        <v>191</v>
      </c>
      <c r="E10" s="14" t="s">
        <v>225</v>
      </c>
      <c r="F10" s="13" t="s">
        <v>226</v>
      </c>
      <c r="G10" s="9">
        <f>COUNTIFS('Daily Schedule'!$A$5:$A$372,A10,'Daily Schedule'!$F$5:$F$372,"&gt;0")</f>
        <v>4</v>
      </c>
      <c r="H10" s="9">
        <f>SUMIFS('Daily Schedule'!$F$5:$F$372,'Daily Schedule'!$A$5:$A$372,A10)</f>
        <v>158</v>
      </c>
      <c r="I10" s="9">
        <f>SUMIFS('Daily Schedule'!$F$5:$F$372,'Daily Schedule'!$A$5:$A$372,A10,'Daily Schedule'!$C$5:$C$372,"Sun")</f>
        <v>60</v>
      </c>
      <c r="J10" s="27">
        <f t="shared" si="1"/>
        <v>5</v>
      </c>
      <c r="K10" s="9">
        <f>COUNTIFS('Daily Schedule'!$A$5:$A$372,A10,'Daily Schedule'!$I$5:$I$372,"KB*")</f>
        <v>3</v>
      </c>
      <c r="L10" s="13" t="s">
        <v>227</v>
      </c>
    </row>
    <row r="11">
      <c r="A11" s="9">
        <v>6.0</v>
      </c>
      <c r="B11" s="12">
        <v>46335.0</v>
      </c>
      <c r="C11" s="12">
        <v>46341.0</v>
      </c>
      <c r="D11" s="13" t="s">
        <v>191</v>
      </c>
      <c r="E11" s="14" t="s">
        <v>225</v>
      </c>
      <c r="F11" s="13" t="s">
        <v>228</v>
      </c>
      <c r="G11" s="9">
        <f>COUNTIFS('Daily Schedule'!$A$5:$A$372,A11,'Daily Schedule'!$F$5:$F$372,"&gt;0")</f>
        <v>4</v>
      </c>
      <c r="H11" s="9">
        <f>SUMIFS('Daily Schedule'!$F$5:$F$372,'Daily Schedule'!$A$5:$A$372,A11)</f>
        <v>150</v>
      </c>
      <c r="I11" s="9">
        <f>SUMIFS('Daily Schedule'!$F$5:$F$372,'Daily Schedule'!$A$5:$A$372,A11,'Daily Schedule'!$C$5:$C$372,"Sun")</f>
        <v>60</v>
      </c>
      <c r="J11" s="27">
        <f t="shared" si="1"/>
        <v>0</v>
      </c>
      <c r="K11" s="9">
        <f>COUNTIFS('Daily Schedule'!$A$5:$A$372,A11,'Daily Schedule'!$I$5:$I$372,"KB*")</f>
        <v>3</v>
      </c>
      <c r="L11" s="13" t="s">
        <v>227</v>
      </c>
    </row>
    <row r="12">
      <c r="A12" s="9">
        <v>7.0</v>
      </c>
      <c r="B12" s="12">
        <v>46342.0</v>
      </c>
      <c r="C12" s="12">
        <v>46348.0</v>
      </c>
      <c r="D12" s="13" t="s">
        <v>191</v>
      </c>
      <c r="E12" s="14" t="s">
        <v>225</v>
      </c>
      <c r="F12" s="13" t="s">
        <v>226</v>
      </c>
      <c r="G12" s="9">
        <f>COUNTIFS('Daily Schedule'!$A$5:$A$372,A12,'Daily Schedule'!$F$5:$F$372,"&gt;0")</f>
        <v>4</v>
      </c>
      <c r="H12" s="9">
        <f>SUMIFS('Daily Schedule'!$F$5:$F$372,'Daily Schedule'!$A$5:$A$372,A12)</f>
        <v>161</v>
      </c>
      <c r="I12" s="9">
        <f>SUMIFS('Daily Schedule'!$F$5:$F$372,'Daily Schedule'!$A$5:$A$372,A12,'Daily Schedule'!$C$5:$C$372,"Sun")</f>
        <v>65</v>
      </c>
      <c r="J12" s="27">
        <f t="shared" si="1"/>
        <v>5</v>
      </c>
      <c r="K12" s="9">
        <f>COUNTIFS('Daily Schedule'!$A$5:$A$372,A12,'Daily Schedule'!$I$5:$I$372,"KB*")</f>
        <v>3</v>
      </c>
      <c r="L12" s="13" t="s">
        <v>227</v>
      </c>
    </row>
    <row r="13">
      <c r="A13" s="32">
        <v>8.0</v>
      </c>
      <c r="B13" s="33">
        <v>46349.0</v>
      </c>
      <c r="C13" s="33">
        <v>46355.0</v>
      </c>
      <c r="D13" s="34" t="s">
        <v>191</v>
      </c>
      <c r="E13" s="35" t="s">
        <v>230</v>
      </c>
      <c r="F13" s="34" t="s">
        <v>232</v>
      </c>
      <c r="G13" s="32">
        <f>COUNTIFS('Daily Schedule'!$A$5:$A$372,A13,'Daily Schedule'!$F$5:$F$372,"&gt;0")</f>
        <v>3</v>
      </c>
      <c r="H13" s="32">
        <f>SUMIFS('Daily Schedule'!$F$5:$F$372,'Daily Schedule'!$A$5:$A$372,A13)</f>
        <v>105</v>
      </c>
      <c r="I13" s="32">
        <f>SUMIFS('Daily Schedule'!$F$5:$F$372,'Daily Schedule'!$A$5:$A$372,A13,'Daily Schedule'!$C$5:$C$372,"Sun")</f>
        <v>50</v>
      </c>
      <c r="J13" s="36">
        <f t="shared" si="1"/>
        <v>-15</v>
      </c>
      <c r="K13" s="32">
        <f>COUNTIFS('Daily Schedule'!$A$5:$A$372,A13,'Daily Schedule'!$I$5:$I$372,"KB*")</f>
        <v>3</v>
      </c>
      <c r="L13" s="34" t="s">
        <v>237</v>
      </c>
    </row>
    <row r="14">
      <c r="A14" s="9">
        <v>9.0</v>
      </c>
      <c r="B14" s="12">
        <v>46356.0</v>
      </c>
      <c r="C14" s="12">
        <v>46362.0</v>
      </c>
      <c r="D14" s="13" t="s">
        <v>191</v>
      </c>
      <c r="E14" s="14" t="s">
        <v>225</v>
      </c>
      <c r="F14" s="13" t="s">
        <v>226</v>
      </c>
      <c r="G14" s="9">
        <f>COUNTIFS('Daily Schedule'!$A$5:$A$372,A14,'Daily Schedule'!$F$5:$F$372,"&gt;0")</f>
        <v>4</v>
      </c>
      <c r="H14" s="9">
        <f>SUMIFS('Daily Schedule'!$F$5:$F$372,'Daily Schedule'!$A$5:$A$372,A14)</f>
        <v>158</v>
      </c>
      <c r="I14" s="9">
        <f>SUMIFS('Daily Schedule'!$F$5:$F$372,'Daily Schedule'!$A$5:$A$372,A14,'Daily Schedule'!$C$5:$C$372,"Sun")</f>
        <v>60</v>
      </c>
      <c r="J14" s="27">
        <f t="shared" si="1"/>
        <v>10</v>
      </c>
      <c r="K14" s="9">
        <f>COUNTIFS('Daily Schedule'!$A$5:$A$372,A14,'Daily Schedule'!$I$5:$I$372,"KB*")</f>
        <v>3</v>
      </c>
      <c r="L14" s="13" t="s">
        <v>227</v>
      </c>
    </row>
    <row r="15">
      <c r="A15" s="9">
        <v>10.0</v>
      </c>
      <c r="B15" s="12">
        <v>46363.0</v>
      </c>
      <c r="C15" s="12">
        <v>46369.0</v>
      </c>
      <c r="D15" s="13" t="s">
        <v>191</v>
      </c>
      <c r="E15" s="14" t="s">
        <v>225</v>
      </c>
      <c r="F15" s="13" t="s">
        <v>228</v>
      </c>
      <c r="G15" s="9">
        <f>COUNTIFS('Daily Schedule'!$A$5:$A$372,A15,'Daily Schedule'!$F$5:$F$372,"&gt;0")</f>
        <v>4</v>
      </c>
      <c r="H15" s="9">
        <f>SUMIFS('Daily Schedule'!$F$5:$F$372,'Daily Schedule'!$A$5:$A$372,A15)</f>
        <v>155</v>
      </c>
      <c r="I15" s="9">
        <f>SUMIFS('Daily Schedule'!$F$5:$F$372,'Daily Schedule'!$A$5:$A$372,A15,'Daily Schedule'!$C$5:$C$372,"Sun")</f>
        <v>65</v>
      </c>
      <c r="J15" s="27">
        <f t="shared" si="1"/>
        <v>5</v>
      </c>
      <c r="K15" s="9">
        <f>COUNTIFS('Daily Schedule'!$A$5:$A$372,A15,'Daily Schedule'!$I$5:$I$372,"KB*")</f>
        <v>3</v>
      </c>
      <c r="L15" s="13" t="s">
        <v>227</v>
      </c>
    </row>
    <row r="16">
      <c r="A16" s="9">
        <v>11.0</v>
      </c>
      <c r="B16" s="12">
        <v>46370.0</v>
      </c>
      <c r="C16" s="12">
        <v>46376.0</v>
      </c>
      <c r="D16" s="13" t="s">
        <v>191</v>
      </c>
      <c r="E16" s="14" t="s">
        <v>225</v>
      </c>
      <c r="F16" s="13" t="s">
        <v>226</v>
      </c>
      <c r="G16" s="9">
        <f>COUNTIFS('Daily Schedule'!$A$5:$A$372,A16,'Daily Schedule'!$F$5:$F$372,"&gt;0")</f>
        <v>4</v>
      </c>
      <c r="H16" s="9">
        <f>SUMIFS('Daily Schedule'!$F$5:$F$372,'Daily Schedule'!$A$5:$A$372,A16)</f>
        <v>161</v>
      </c>
      <c r="I16" s="9">
        <f>SUMIFS('Daily Schedule'!$F$5:$F$372,'Daily Schedule'!$A$5:$A$372,A16,'Daily Schedule'!$C$5:$C$372,"Sun")</f>
        <v>65</v>
      </c>
      <c r="J16" s="27">
        <f t="shared" si="1"/>
        <v>0</v>
      </c>
      <c r="K16" s="9">
        <f>COUNTIFS('Daily Schedule'!$A$5:$A$372,A16,'Daily Schedule'!$I$5:$I$372,"KB*")</f>
        <v>3</v>
      </c>
      <c r="L16" s="13" t="s">
        <v>227</v>
      </c>
    </row>
    <row r="17">
      <c r="A17" s="32">
        <v>12.0</v>
      </c>
      <c r="B17" s="33">
        <v>46377.0</v>
      </c>
      <c r="C17" s="33">
        <v>46383.0</v>
      </c>
      <c r="D17" s="34" t="s">
        <v>191</v>
      </c>
      <c r="E17" s="35" t="s">
        <v>230</v>
      </c>
      <c r="F17" s="34" t="s">
        <v>232</v>
      </c>
      <c r="G17" s="32">
        <f>COUNTIFS('Daily Schedule'!$A$5:$A$372,A17,'Daily Schedule'!$F$5:$F$372,"&gt;0")</f>
        <v>4</v>
      </c>
      <c r="H17" s="32">
        <f>SUMIFS('Daily Schedule'!$F$5:$F$372,'Daily Schedule'!$A$5:$A$372,A17)</f>
        <v>125</v>
      </c>
      <c r="I17" s="32">
        <f>SUMIFS('Daily Schedule'!$F$5:$F$372,'Daily Schedule'!$A$5:$A$372,A17,'Daily Schedule'!$C$5:$C$372,"Sun")</f>
        <v>45</v>
      </c>
      <c r="J17" s="36">
        <f t="shared" si="1"/>
        <v>-20</v>
      </c>
      <c r="K17" s="32">
        <f>COUNTIFS('Daily Schedule'!$A$5:$A$372,A17,'Daily Schedule'!$I$5:$I$372,"KB*")</f>
        <v>2</v>
      </c>
      <c r="L17" s="34" t="s">
        <v>263</v>
      </c>
    </row>
    <row r="18">
      <c r="A18" s="9">
        <v>13.0</v>
      </c>
      <c r="B18" s="12">
        <v>46384.0</v>
      </c>
      <c r="C18" s="12">
        <v>46390.0</v>
      </c>
      <c r="D18" s="13" t="s">
        <v>191</v>
      </c>
      <c r="E18" s="14" t="s">
        <v>225</v>
      </c>
      <c r="F18" s="13" t="s">
        <v>264</v>
      </c>
      <c r="G18" s="9">
        <f>COUNTIFS('Daily Schedule'!$A$5:$A$372,A18,'Daily Schedule'!$F$5:$F$372,"&gt;0")</f>
        <v>4</v>
      </c>
      <c r="H18" s="9">
        <f>SUMIFS('Daily Schedule'!$F$5:$F$372,'Daily Schedule'!$A$5:$A$372,A18)</f>
        <v>145</v>
      </c>
      <c r="I18" s="9">
        <f>SUMIFS('Daily Schedule'!$F$5:$F$372,'Daily Schedule'!$A$5:$A$372,A18,'Daily Schedule'!$C$5:$C$372,"Sun")</f>
        <v>55</v>
      </c>
      <c r="J18" s="27">
        <f t="shared" si="1"/>
        <v>10</v>
      </c>
      <c r="K18" s="9">
        <f>COUNTIFS('Daily Schedule'!$A$5:$A$372,A18,'Daily Schedule'!$I$5:$I$372,"KB*")</f>
        <v>3</v>
      </c>
      <c r="L18" s="13" t="s">
        <v>269</v>
      </c>
    </row>
    <row r="19">
      <c r="A19" s="9">
        <v>14.0</v>
      </c>
      <c r="B19" s="12">
        <v>46391.0</v>
      </c>
      <c r="C19" s="12">
        <v>46397.0</v>
      </c>
      <c r="D19" s="13" t="s">
        <v>238</v>
      </c>
      <c r="E19" s="14" t="s">
        <v>132</v>
      </c>
      <c r="F19" s="13" t="s">
        <v>148</v>
      </c>
      <c r="G19" s="9">
        <f>COUNTIFS('Daily Schedule'!$A$5:$A$372,A19,'Daily Schedule'!$F$5:$F$372,"&gt;0")</f>
        <v>5</v>
      </c>
      <c r="H19" s="9">
        <f>SUMIFS('Daily Schedule'!$F$5:$F$372,'Daily Schedule'!$A$5:$A$372,A19)</f>
        <v>198</v>
      </c>
      <c r="I19" s="9">
        <f>SUMIFS('Daily Schedule'!$F$5:$F$372,'Daily Schedule'!$A$5:$A$372,A19,'Daily Schedule'!$C$5:$C$372,"Sun")</f>
        <v>60</v>
      </c>
      <c r="J19" s="27">
        <f t="shared" si="1"/>
        <v>5</v>
      </c>
      <c r="K19" s="9">
        <f>COUNTIFS('Daily Schedule'!$A$5:$A$372,A19,'Daily Schedule'!$I$5:$I$372,"KB*")</f>
        <v>3</v>
      </c>
      <c r="L19" s="13" t="s">
        <v>274</v>
      </c>
    </row>
    <row r="20">
      <c r="A20" s="9">
        <v>15.0</v>
      </c>
      <c r="B20" s="12">
        <v>46398.0</v>
      </c>
      <c r="C20" s="12">
        <v>46404.0</v>
      </c>
      <c r="D20" s="13" t="s">
        <v>238</v>
      </c>
      <c r="E20" s="14" t="s">
        <v>132</v>
      </c>
      <c r="F20" s="13" t="s">
        <v>133</v>
      </c>
      <c r="G20" s="9">
        <f>COUNTIFS('Daily Schedule'!$A$5:$A$372,A20,'Daily Schedule'!$F$5:$F$372,"&gt;0")</f>
        <v>5</v>
      </c>
      <c r="H20" s="9">
        <f>SUMIFS('Daily Schedule'!$F$5:$F$372,'Daily Schedule'!$A$5:$A$372,A20)</f>
        <v>208</v>
      </c>
      <c r="I20" s="9">
        <f>SUMIFS('Daily Schedule'!$F$5:$F$372,'Daily Schedule'!$A$5:$A$372,A20,'Daily Schedule'!$C$5:$C$372,"Sun")</f>
        <v>65</v>
      </c>
      <c r="J20" s="27">
        <f t="shared" si="1"/>
        <v>5</v>
      </c>
      <c r="K20" s="9">
        <f>COUNTIFS('Daily Schedule'!$A$5:$A$372,A20,'Daily Schedule'!$I$5:$I$372,"KB*")</f>
        <v>3</v>
      </c>
      <c r="L20" s="13" t="s">
        <v>274</v>
      </c>
    </row>
    <row r="21" ht="15.75" customHeight="1">
      <c r="A21" s="9">
        <v>16.0</v>
      </c>
      <c r="B21" s="12">
        <v>46405.0</v>
      </c>
      <c r="C21" s="12">
        <v>46411.0</v>
      </c>
      <c r="D21" s="13" t="s">
        <v>238</v>
      </c>
      <c r="E21" s="14" t="s">
        <v>132</v>
      </c>
      <c r="F21" s="13" t="s">
        <v>148</v>
      </c>
      <c r="G21" s="9">
        <f>COUNTIFS('Daily Schedule'!$A$5:$A$372,A21,'Daily Schedule'!$F$5:$F$372,"&gt;0")</f>
        <v>5</v>
      </c>
      <c r="H21" s="9">
        <f>SUMIFS('Daily Schedule'!$F$5:$F$372,'Daily Schedule'!$A$5:$A$372,A21)</f>
        <v>210</v>
      </c>
      <c r="I21" s="9">
        <f>SUMIFS('Daily Schedule'!$F$5:$F$372,'Daily Schedule'!$A$5:$A$372,A21,'Daily Schedule'!$C$5:$C$372,"Sun")</f>
        <v>70</v>
      </c>
      <c r="J21" s="27">
        <f t="shared" si="1"/>
        <v>5</v>
      </c>
      <c r="K21" s="9">
        <f>COUNTIFS('Daily Schedule'!$A$5:$A$372,A21,'Daily Schedule'!$I$5:$I$372,"KB*")</f>
        <v>3</v>
      </c>
      <c r="L21" s="13" t="s">
        <v>274</v>
      </c>
    </row>
    <row r="22" ht="15.75" customHeight="1">
      <c r="A22" s="32">
        <v>17.0</v>
      </c>
      <c r="B22" s="33">
        <v>46412.0</v>
      </c>
      <c r="C22" s="33">
        <v>46418.0</v>
      </c>
      <c r="D22" s="34" t="s">
        <v>238</v>
      </c>
      <c r="E22" s="35" t="s">
        <v>214</v>
      </c>
      <c r="F22" s="34" t="s">
        <v>133</v>
      </c>
      <c r="G22" s="32">
        <f>COUNTIFS('Daily Schedule'!$A$5:$A$372,A22,'Daily Schedule'!$F$5:$F$372,"&gt;0")</f>
        <v>5</v>
      </c>
      <c r="H22" s="32">
        <f>SUMIFS('Daily Schedule'!$F$5:$F$372,'Daily Schedule'!$A$5:$A$372,A22)</f>
        <v>183</v>
      </c>
      <c r="I22" s="32">
        <f>SUMIFS('Daily Schedule'!$F$5:$F$372,'Daily Schedule'!$A$5:$A$372,A22,'Daily Schedule'!$C$5:$C$372,"Sun")</f>
        <v>55</v>
      </c>
      <c r="J22" s="36">
        <f t="shared" si="1"/>
        <v>-15</v>
      </c>
      <c r="K22" s="32">
        <f>COUNTIFS('Daily Schedule'!$A$5:$A$372,A22,'Daily Schedule'!$I$5:$I$372,"KB*")</f>
        <v>3</v>
      </c>
      <c r="L22" s="34" t="s">
        <v>274</v>
      </c>
    </row>
    <row r="23" ht="15.75" customHeight="1">
      <c r="A23" s="37">
        <v>18.0</v>
      </c>
      <c r="B23" s="40">
        <v>46419.0</v>
      </c>
      <c r="C23" s="40">
        <v>46425.0</v>
      </c>
      <c r="D23" s="39" t="s">
        <v>238</v>
      </c>
      <c r="E23" s="38" t="s">
        <v>286</v>
      </c>
      <c r="F23" s="39" t="s">
        <v>287</v>
      </c>
      <c r="G23" s="37">
        <f>COUNTIFS('Daily Schedule'!$A$5:$A$372,A23,'Daily Schedule'!$F$5:$F$372,"&gt;0")</f>
        <v>5</v>
      </c>
      <c r="H23" s="37">
        <f>SUMIFS('Daily Schedule'!$F$5:$F$372,'Daily Schedule'!$A$5:$A$372,A23)</f>
        <v>211</v>
      </c>
      <c r="I23" s="37">
        <f>SUMIFS('Daily Schedule'!$F$5:$F$372,'Daily Schedule'!$A$5:$A$372,A23,'Daily Schedule'!$C$5:$C$372,"Sun")</f>
        <v>70</v>
      </c>
      <c r="J23" s="41">
        <f t="shared" si="1"/>
        <v>15</v>
      </c>
      <c r="K23" s="37">
        <f>COUNTIFS('Daily Schedule'!$A$5:$A$372,A23,'Daily Schedule'!$I$5:$I$372,"KB*")</f>
        <v>3</v>
      </c>
      <c r="L23" s="39" t="s">
        <v>295</v>
      </c>
    </row>
    <row r="24" ht="15.75" customHeight="1">
      <c r="A24" s="9">
        <v>19.0</v>
      </c>
      <c r="B24" s="12">
        <v>46426.0</v>
      </c>
      <c r="C24" s="12">
        <v>46432.0</v>
      </c>
      <c r="D24" s="13" t="s">
        <v>238</v>
      </c>
      <c r="E24" s="14" t="s">
        <v>132</v>
      </c>
      <c r="F24" s="13" t="s">
        <v>133</v>
      </c>
      <c r="G24" s="9">
        <f>COUNTIFS('Daily Schedule'!$A$5:$A$372,A24,'Daily Schedule'!$F$5:$F$372,"&gt;0")</f>
        <v>5</v>
      </c>
      <c r="H24" s="9">
        <f>SUMIFS('Daily Schedule'!$F$5:$F$372,'Daily Schedule'!$A$5:$A$372,A24)</f>
        <v>218</v>
      </c>
      <c r="I24" s="9">
        <f>SUMIFS('Daily Schedule'!$F$5:$F$372,'Daily Schedule'!$A$5:$A$372,A24,'Daily Schedule'!$C$5:$C$372,"Sun")</f>
        <v>75</v>
      </c>
      <c r="J24" s="27">
        <f t="shared" si="1"/>
        <v>5</v>
      </c>
      <c r="K24" s="9">
        <f>COUNTIFS('Daily Schedule'!$A$5:$A$372,A24,'Daily Schedule'!$I$5:$I$372,"KB*")</f>
        <v>3</v>
      </c>
      <c r="L24" s="13" t="s">
        <v>274</v>
      </c>
    </row>
    <row r="25" ht="15.75" customHeight="1">
      <c r="A25" s="9">
        <v>20.0</v>
      </c>
      <c r="B25" s="12">
        <v>46433.0</v>
      </c>
      <c r="C25" s="12">
        <v>46439.0</v>
      </c>
      <c r="D25" s="13" t="s">
        <v>238</v>
      </c>
      <c r="E25" s="14" t="s">
        <v>132</v>
      </c>
      <c r="F25" s="13" t="s">
        <v>148</v>
      </c>
      <c r="G25" s="9">
        <f>COUNTIFS('Daily Schedule'!$A$5:$A$372,A25,'Daily Schedule'!$F$5:$F$372,"&gt;0")</f>
        <v>5</v>
      </c>
      <c r="H25" s="9">
        <f>SUMIFS('Daily Schedule'!$F$5:$F$372,'Daily Schedule'!$A$5:$A$372,A25)</f>
        <v>223</v>
      </c>
      <c r="I25" s="9">
        <f>SUMIFS('Daily Schedule'!$F$5:$F$372,'Daily Schedule'!$A$5:$A$372,A25,'Daily Schedule'!$C$5:$C$372,"Sun")</f>
        <v>80</v>
      </c>
      <c r="J25" s="27">
        <f t="shared" si="1"/>
        <v>5</v>
      </c>
      <c r="K25" s="9">
        <f>COUNTIFS('Daily Schedule'!$A$5:$A$372,A25,'Daily Schedule'!$I$5:$I$372,"KB*")</f>
        <v>3</v>
      </c>
      <c r="L25" s="13" t="s">
        <v>274</v>
      </c>
    </row>
    <row r="26" ht="15.75" customHeight="1">
      <c r="A26" s="32">
        <v>21.0</v>
      </c>
      <c r="B26" s="33">
        <v>46440.0</v>
      </c>
      <c r="C26" s="33">
        <v>46446.0</v>
      </c>
      <c r="D26" s="34" t="s">
        <v>238</v>
      </c>
      <c r="E26" s="35" t="s">
        <v>214</v>
      </c>
      <c r="F26" s="34" t="s">
        <v>133</v>
      </c>
      <c r="G26" s="32">
        <f>COUNTIFS('Daily Schedule'!$A$5:$A$372,A26,'Daily Schedule'!$F$5:$F$372,"&gt;0")</f>
        <v>5</v>
      </c>
      <c r="H26" s="32">
        <f>SUMIFS('Daily Schedule'!$F$5:$F$372,'Daily Schedule'!$A$5:$A$372,A26)</f>
        <v>188</v>
      </c>
      <c r="I26" s="32">
        <f>SUMIFS('Daily Schedule'!$F$5:$F$372,'Daily Schedule'!$A$5:$A$372,A26,'Daily Schedule'!$C$5:$C$372,"Sun")</f>
        <v>60</v>
      </c>
      <c r="J26" s="36">
        <f t="shared" si="1"/>
        <v>-20</v>
      </c>
      <c r="K26" s="32">
        <f>COUNTIFS('Daily Schedule'!$A$5:$A$372,A26,'Daily Schedule'!$I$5:$I$372,"KB*")</f>
        <v>3</v>
      </c>
      <c r="L26" s="34" t="s">
        <v>274</v>
      </c>
    </row>
    <row r="27" ht="15.75" customHeight="1">
      <c r="A27" s="9">
        <v>22.0</v>
      </c>
      <c r="B27" s="12">
        <v>46447.0</v>
      </c>
      <c r="C27" s="12">
        <v>46453.0</v>
      </c>
      <c r="D27" s="13" t="s">
        <v>278</v>
      </c>
      <c r="E27" s="14" t="s">
        <v>132</v>
      </c>
      <c r="F27" s="13" t="s">
        <v>148</v>
      </c>
      <c r="G27" s="9">
        <f>COUNTIFS('Daily Schedule'!$A$5:$A$372,A27,'Daily Schedule'!$F$5:$F$372,"&gt;0")</f>
        <v>5</v>
      </c>
      <c r="H27" s="9">
        <f>SUMIFS('Daily Schedule'!$F$5:$F$372,'Daily Schedule'!$A$5:$A$372,A27)</f>
        <v>235</v>
      </c>
      <c r="I27" s="9">
        <f>SUMIFS('Daily Schedule'!$F$5:$F$372,'Daily Schedule'!$A$5:$A$372,A27,'Daily Schedule'!$C$5:$C$372,"Sun")</f>
        <v>80</v>
      </c>
      <c r="J27" s="27">
        <f t="shared" si="1"/>
        <v>20</v>
      </c>
      <c r="K27" s="9">
        <f>COUNTIFS('Daily Schedule'!$A$5:$A$372,A27,'Daily Schedule'!$I$5:$I$372,"KB*")</f>
        <v>3</v>
      </c>
      <c r="L27" s="13" t="s">
        <v>309</v>
      </c>
    </row>
    <row r="28" ht="15.75" customHeight="1">
      <c r="A28" s="9">
        <v>23.0</v>
      </c>
      <c r="B28" s="12">
        <v>46454.0</v>
      </c>
      <c r="C28" s="12">
        <v>46460.0</v>
      </c>
      <c r="D28" s="13" t="s">
        <v>278</v>
      </c>
      <c r="E28" s="14" t="s">
        <v>132</v>
      </c>
      <c r="F28" s="13" t="s">
        <v>133</v>
      </c>
      <c r="G28" s="9">
        <f>COUNTIFS('Daily Schedule'!$A$5:$A$372,A28,'Daily Schedule'!$F$5:$F$372,"&gt;0")</f>
        <v>5</v>
      </c>
      <c r="H28" s="9">
        <f>SUMIFS('Daily Schedule'!$F$5:$F$372,'Daily Schedule'!$A$5:$A$372,A28)</f>
        <v>238</v>
      </c>
      <c r="I28" s="9">
        <f>SUMIFS('Daily Schedule'!$F$5:$F$372,'Daily Schedule'!$A$5:$A$372,A28,'Daily Schedule'!$C$5:$C$372,"Sun")</f>
        <v>85</v>
      </c>
      <c r="J28" s="27">
        <f t="shared" si="1"/>
        <v>5</v>
      </c>
      <c r="K28" s="9">
        <f>COUNTIFS('Daily Schedule'!$A$5:$A$372,A28,'Daily Schedule'!$I$5:$I$372,"KB*")</f>
        <v>3</v>
      </c>
      <c r="L28" s="13" t="s">
        <v>309</v>
      </c>
    </row>
    <row r="29" ht="15.75" customHeight="1">
      <c r="A29" s="9">
        <v>24.0</v>
      </c>
      <c r="B29" s="12">
        <v>46461.0</v>
      </c>
      <c r="C29" s="12">
        <v>46467.0</v>
      </c>
      <c r="D29" s="13" t="s">
        <v>278</v>
      </c>
      <c r="E29" s="14" t="s">
        <v>132</v>
      </c>
      <c r="F29" s="13" t="s">
        <v>148</v>
      </c>
      <c r="G29" s="9">
        <f>COUNTIFS('Daily Schedule'!$A$5:$A$372,A29,'Daily Schedule'!$F$5:$F$372,"&gt;0")</f>
        <v>5</v>
      </c>
      <c r="H29" s="9">
        <f>SUMIFS('Daily Schedule'!$F$5:$F$372,'Daily Schedule'!$A$5:$A$372,A29)</f>
        <v>245</v>
      </c>
      <c r="I29" s="9">
        <f>SUMIFS('Daily Schedule'!$F$5:$F$372,'Daily Schedule'!$A$5:$A$372,A29,'Daily Schedule'!$C$5:$C$372,"Sun")</f>
        <v>90</v>
      </c>
      <c r="J29" s="27">
        <f t="shared" si="1"/>
        <v>5</v>
      </c>
      <c r="K29" s="9">
        <f>COUNTIFS('Daily Schedule'!$A$5:$A$372,A29,'Daily Schedule'!$I$5:$I$372,"KB*")</f>
        <v>3</v>
      </c>
      <c r="L29" s="13" t="s">
        <v>309</v>
      </c>
    </row>
    <row r="30" ht="15.75" customHeight="1">
      <c r="A30" s="32">
        <v>25.0</v>
      </c>
      <c r="B30" s="33">
        <v>46468.0</v>
      </c>
      <c r="C30" s="33">
        <v>46474.0</v>
      </c>
      <c r="D30" s="34" t="s">
        <v>278</v>
      </c>
      <c r="E30" s="35" t="s">
        <v>214</v>
      </c>
      <c r="F30" s="34" t="s">
        <v>133</v>
      </c>
      <c r="G30" s="32">
        <f>COUNTIFS('Daily Schedule'!$A$5:$A$372,A30,'Daily Schedule'!$F$5:$F$372,"&gt;0")</f>
        <v>5</v>
      </c>
      <c r="H30" s="32">
        <f>SUMIFS('Daily Schedule'!$F$5:$F$372,'Daily Schedule'!$A$5:$A$372,A30)</f>
        <v>203</v>
      </c>
      <c r="I30" s="32">
        <f>SUMIFS('Daily Schedule'!$F$5:$F$372,'Daily Schedule'!$A$5:$A$372,A30,'Daily Schedule'!$C$5:$C$372,"Sun")</f>
        <v>65</v>
      </c>
      <c r="J30" s="36">
        <f t="shared" si="1"/>
        <v>-25</v>
      </c>
      <c r="K30" s="32">
        <f>COUNTIFS('Daily Schedule'!$A$5:$A$372,A30,'Daily Schedule'!$I$5:$I$372,"KB*")</f>
        <v>3</v>
      </c>
      <c r="L30" s="34" t="s">
        <v>309</v>
      </c>
    </row>
    <row r="31" ht="15.75" customHeight="1">
      <c r="A31" s="9">
        <v>26.0</v>
      </c>
      <c r="B31" s="12">
        <v>46475.0</v>
      </c>
      <c r="C31" s="12">
        <v>46481.0</v>
      </c>
      <c r="D31" s="13" t="s">
        <v>278</v>
      </c>
      <c r="E31" s="14" t="s">
        <v>132</v>
      </c>
      <c r="F31" s="13" t="s">
        <v>148</v>
      </c>
      <c r="G31" s="9">
        <f>COUNTIFS('Daily Schedule'!$A$5:$A$372,A31,'Daily Schedule'!$F$5:$F$372,"&gt;0")</f>
        <v>5</v>
      </c>
      <c r="H31" s="9">
        <f>SUMIFS('Daily Schedule'!$F$5:$F$372,'Daily Schedule'!$A$5:$A$372,A31)</f>
        <v>235</v>
      </c>
      <c r="I31" s="9">
        <f>SUMIFS('Daily Schedule'!$F$5:$F$372,'Daily Schedule'!$A$5:$A$372,A31,'Daily Schedule'!$C$5:$C$372,"Sun")</f>
        <v>80</v>
      </c>
      <c r="J31" s="27">
        <f t="shared" si="1"/>
        <v>15</v>
      </c>
      <c r="K31" s="9">
        <f>COUNTIFS('Daily Schedule'!$A$5:$A$372,A31,'Daily Schedule'!$I$5:$I$372,"KB*")</f>
        <v>3</v>
      </c>
      <c r="L31" s="13" t="s">
        <v>309</v>
      </c>
    </row>
    <row r="32" ht="15.75" customHeight="1">
      <c r="A32" s="9">
        <v>27.0</v>
      </c>
      <c r="B32" s="12">
        <v>46482.0</v>
      </c>
      <c r="C32" s="12">
        <v>46488.0</v>
      </c>
      <c r="D32" s="13" t="s">
        <v>278</v>
      </c>
      <c r="E32" s="14" t="s">
        <v>132</v>
      </c>
      <c r="F32" s="13" t="s">
        <v>133</v>
      </c>
      <c r="G32" s="9">
        <f>COUNTIFS('Daily Schedule'!$A$5:$A$372,A32,'Daily Schedule'!$F$5:$F$372,"&gt;0")</f>
        <v>5</v>
      </c>
      <c r="H32" s="9">
        <f>SUMIFS('Daily Schedule'!$F$5:$F$372,'Daily Schedule'!$A$5:$A$372,A32)</f>
        <v>243</v>
      </c>
      <c r="I32" s="9">
        <f>SUMIFS('Daily Schedule'!$F$5:$F$372,'Daily Schedule'!$A$5:$A$372,A32,'Daily Schedule'!$C$5:$C$372,"Sun")</f>
        <v>90</v>
      </c>
      <c r="J32" s="27">
        <f t="shared" si="1"/>
        <v>10</v>
      </c>
      <c r="K32" s="9">
        <f>COUNTIFS('Daily Schedule'!$A$5:$A$372,A32,'Daily Schedule'!$I$5:$I$372,"KB*")</f>
        <v>3</v>
      </c>
      <c r="L32" s="13" t="s">
        <v>309</v>
      </c>
    </row>
    <row r="33" ht="15.75" customHeight="1">
      <c r="A33" s="9">
        <v>28.0</v>
      </c>
      <c r="B33" s="12">
        <v>46489.0</v>
      </c>
      <c r="C33" s="12">
        <v>46495.0</v>
      </c>
      <c r="D33" s="13" t="s">
        <v>278</v>
      </c>
      <c r="E33" s="14" t="s">
        <v>132</v>
      </c>
      <c r="F33" s="13" t="s">
        <v>148</v>
      </c>
      <c r="G33" s="9">
        <f>COUNTIFS('Daily Schedule'!$A$5:$A$372,A33,'Daily Schedule'!$F$5:$F$372,"&gt;0")</f>
        <v>5</v>
      </c>
      <c r="H33" s="9">
        <f>SUMIFS('Daily Schedule'!$F$5:$F$372,'Daily Schedule'!$A$5:$A$372,A33)</f>
        <v>238</v>
      </c>
      <c r="I33" s="9">
        <f>SUMIFS('Daily Schedule'!$F$5:$F$372,'Daily Schedule'!$A$5:$A$372,A33,'Daily Schedule'!$C$5:$C$372,"Sun")</f>
        <v>85</v>
      </c>
      <c r="J33" s="27">
        <f t="shared" si="1"/>
        <v>-5</v>
      </c>
      <c r="K33" s="9">
        <f>COUNTIFS('Daily Schedule'!$A$5:$A$372,A33,'Daily Schedule'!$I$5:$I$372,"KB*")</f>
        <v>3</v>
      </c>
      <c r="L33" s="13" t="s">
        <v>309</v>
      </c>
    </row>
    <row r="34" ht="15.75" customHeight="1">
      <c r="A34" s="37">
        <v>29.0</v>
      </c>
      <c r="B34" s="40">
        <v>46496.0</v>
      </c>
      <c r="C34" s="40">
        <v>46502.0</v>
      </c>
      <c r="D34" s="39" t="s">
        <v>278</v>
      </c>
      <c r="E34" s="38" t="s">
        <v>335</v>
      </c>
      <c r="F34" s="39" t="s">
        <v>336</v>
      </c>
      <c r="G34" s="37">
        <f>COUNTIFS('Daily Schedule'!$A$5:$A$372,A34,'Daily Schedule'!$F$5:$F$372,"&gt;0")</f>
        <v>5</v>
      </c>
      <c r="H34" s="37">
        <f>SUMIFS('Daily Schedule'!$F$5:$F$372,'Daily Schedule'!$A$5:$A$372,A34)</f>
        <v>187</v>
      </c>
      <c r="I34" s="37">
        <f>SUMIFS('Daily Schedule'!$F$5:$F$372,'Daily Schedule'!$A$5:$A$372,A34,'Daily Schedule'!$C$5:$C$372,"Sun")</f>
        <v>50</v>
      </c>
      <c r="J34" s="41">
        <f t="shared" si="1"/>
        <v>-35</v>
      </c>
      <c r="K34" s="37">
        <f>COUNTIFS('Daily Schedule'!$A$5:$A$372,A34,'Daily Schedule'!$I$5:$I$372,"KB*")</f>
        <v>2</v>
      </c>
      <c r="L34" s="39" t="s">
        <v>337</v>
      </c>
    </row>
    <row r="35" ht="15.75" customHeight="1">
      <c r="A35" s="9">
        <v>30.0</v>
      </c>
      <c r="B35" s="12">
        <v>46503.0</v>
      </c>
      <c r="C35" s="12">
        <v>46509.0</v>
      </c>
      <c r="D35" s="13" t="s">
        <v>319</v>
      </c>
      <c r="E35" s="14" t="s">
        <v>132</v>
      </c>
      <c r="F35" s="13" t="s">
        <v>148</v>
      </c>
      <c r="G35" s="9">
        <f>COUNTIFS('Daily Schedule'!$A$5:$A$372,A35,'Daily Schedule'!$F$5:$F$372,"&gt;0")</f>
        <v>5</v>
      </c>
      <c r="H35" s="9">
        <f>SUMIFS('Daily Schedule'!$F$5:$F$372,'Daily Schedule'!$A$5:$A$372,A35)</f>
        <v>240</v>
      </c>
      <c r="I35" s="9">
        <f>SUMIFS('Daily Schedule'!$F$5:$F$372,'Daily Schedule'!$A$5:$A$372,A35,'Daily Schedule'!$C$5:$C$372,"Sun")</f>
        <v>85</v>
      </c>
      <c r="J35" s="27">
        <f t="shared" si="1"/>
        <v>35</v>
      </c>
      <c r="K35" s="9">
        <f>COUNTIFS('Daily Schedule'!$A$5:$A$372,A35,'Daily Schedule'!$I$5:$I$372,"KB*")</f>
        <v>3</v>
      </c>
      <c r="L35" s="13" t="s">
        <v>340</v>
      </c>
    </row>
    <row r="36" ht="15.75" customHeight="1">
      <c r="A36" s="9">
        <v>31.0</v>
      </c>
      <c r="B36" s="12">
        <v>46510.0</v>
      </c>
      <c r="C36" s="12">
        <v>46516.0</v>
      </c>
      <c r="D36" s="13" t="s">
        <v>319</v>
      </c>
      <c r="E36" s="14" t="s">
        <v>132</v>
      </c>
      <c r="F36" s="13" t="s">
        <v>133</v>
      </c>
      <c r="G36" s="9">
        <f>COUNTIFS('Daily Schedule'!$A$5:$A$372,A36,'Daily Schedule'!$F$5:$F$372,"&gt;0")</f>
        <v>5</v>
      </c>
      <c r="H36" s="9">
        <f>SUMIFS('Daily Schedule'!$F$5:$F$372,'Daily Schedule'!$A$5:$A$372,A36)</f>
        <v>243</v>
      </c>
      <c r="I36" s="9">
        <f>SUMIFS('Daily Schedule'!$F$5:$F$372,'Daily Schedule'!$A$5:$A$372,A36,'Daily Schedule'!$C$5:$C$372,"Sun")</f>
        <v>90</v>
      </c>
      <c r="J36" s="27">
        <f t="shared" si="1"/>
        <v>5</v>
      </c>
      <c r="K36" s="9">
        <f>COUNTIFS('Daily Schedule'!$A$5:$A$372,A36,'Daily Schedule'!$I$5:$I$372,"KB*")</f>
        <v>3</v>
      </c>
      <c r="L36" s="13" t="s">
        <v>340</v>
      </c>
    </row>
    <row r="37" ht="15.75" customHeight="1">
      <c r="A37" s="9">
        <v>32.0</v>
      </c>
      <c r="B37" s="12">
        <v>46517.0</v>
      </c>
      <c r="C37" s="12">
        <v>46523.0</v>
      </c>
      <c r="D37" s="13" t="s">
        <v>319</v>
      </c>
      <c r="E37" s="14" t="s">
        <v>132</v>
      </c>
      <c r="F37" s="13" t="s">
        <v>148</v>
      </c>
      <c r="G37" s="9">
        <f>COUNTIFS('Daily Schedule'!$A$5:$A$372,A37,'Daily Schedule'!$F$5:$F$372,"&gt;0")</f>
        <v>5</v>
      </c>
      <c r="H37" s="9">
        <f>SUMIFS('Daily Schedule'!$F$5:$F$372,'Daily Schedule'!$A$5:$A$372,A37)</f>
        <v>235</v>
      </c>
      <c r="I37" s="9">
        <f>SUMIFS('Daily Schedule'!$F$5:$F$372,'Daily Schedule'!$A$5:$A$372,A37,'Daily Schedule'!$C$5:$C$372,"Sun")</f>
        <v>80</v>
      </c>
      <c r="J37" s="27">
        <f t="shared" si="1"/>
        <v>-10</v>
      </c>
      <c r="K37" s="9">
        <f>COUNTIFS('Daily Schedule'!$A$5:$A$372,A37,'Daily Schedule'!$I$5:$I$372,"KB*")</f>
        <v>3</v>
      </c>
      <c r="L37" s="13" t="s">
        <v>340</v>
      </c>
    </row>
    <row r="38" ht="15.75" customHeight="1">
      <c r="A38" s="32">
        <v>33.0</v>
      </c>
      <c r="B38" s="33">
        <v>46524.0</v>
      </c>
      <c r="C38" s="33">
        <v>46530.0</v>
      </c>
      <c r="D38" s="34" t="s">
        <v>319</v>
      </c>
      <c r="E38" s="35" t="s">
        <v>214</v>
      </c>
      <c r="F38" s="34" t="s">
        <v>133</v>
      </c>
      <c r="G38" s="32">
        <f>COUNTIFS('Daily Schedule'!$A$5:$A$372,A38,'Daily Schedule'!$F$5:$F$372,"&gt;0")</f>
        <v>5</v>
      </c>
      <c r="H38" s="32">
        <f>SUMIFS('Daily Schedule'!$F$5:$F$372,'Daily Schedule'!$A$5:$A$372,A38)</f>
        <v>203</v>
      </c>
      <c r="I38" s="32">
        <f>SUMIFS('Daily Schedule'!$F$5:$F$372,'Daily Schedule'!$A$5:$A$372,A38,'Daily Schedule'!$C$5:$C$372,"Sun")</f>
        <v>65</v>
      </c>
      <c r="J38" s="36">
        <f t="shared" si="1"/>
        <v>-15</v>
      </c>
      <c r="K38" s="32">
        <f>COUNTIFS('Daily Schedule'!$A$5:$A$372,A38,'Daily Schedule'!$I$5:$I$372,"KB*")</f>
        <v>3</v>
      </c>
      <c r="L38" s="34" t="s">
        <v>340</v>
      </c>
    </row>
    <row r="39" ht="15.75" customHeight="1">
      <c r="A39" s="9">
        <v>34.0</v>
      </c>
      <c r="B39" s="12">
        <v>46531.0</v>
      </c>
      <c r="C39" s="12">
        <v>46537.0</v>
      </c>
      <c r="D39" s="13" t="s">
        <v>319</v>
      </c>
      <c r="E39" s="14" t="s">
        <v>132</v>
      </c>
      <c r="F39" s="13" t="s">
        <v>148</v>
      </c>
      <c r="G39" s="9">
        <f>COUNTIFS('Daily Schedule'!$A$5:$A$372,A39,'Daily Schedule'!$F$5:$F$372,"&gt;0")</f>
        <v>5</v>
      </c>
      <c r="H39" s="9">
        <f>SUMIFS('Daily Schedule'!$F$5:$F$372,'Daily Schedule'!$A$5:$A$372,A39)</f>
        <v>242</v>
      </c>
      <c r="I39" s="9">
        <f>SUMIFS('Daily Schedule'!$F$5:$F$372,'Daily Schedule'!$A$5:$A$372,A39,'Daily Schedule'!$C$5:$C$372,"Sun")</f>
        <v>90</v>
      </c>
      <c r="J39" s="27">
        <f t="shared" si="1"/>
        <v>25</v>
      </c>
      <c r="K39" s="9">
        <f>COUNTIFS('Daily Schedule'!$A$5:$A$372,A39,'Daily Schedule'!$I$5:$I$372,"KB*")</f>
        <v>3</v>
      </c>
      <c r="L39" s="13" t="s">
        <v>340</v>
      </c>
    </row>
    <row r="40" ht="15.75" customHeight="1">
      <c r="A40" s="9">
        <v>35.0</v>
      </c>
      <c r="B40" s="12">
        <v>46538.0</v>
      </c>
      <c r="C40" s="12">
        <v>46544.0</v>
      </c>
      <c r="D40" s="13" t="s">
        <v>319</v>
      </c>
      <c r="E40" s="14" t="s">
        <v>132</v>
      </c>
      <c r="F40" s="13" t="s">
        <v>133</v>
      </c>
      <c r="G40" s="9">
        <f>COUNTIFS('Daily Schedule'!$A$5:$A$372,A40,'Daily Schedule'!$F$5:$F$372,"&gt;0")</f>
        <v>5</v>
      </c>
      <c r="H40" s="9">
        <f>SUMIFS('Daily Schedule'!$F$5:$F$372,'Daily Schedule'!$A$5:$A$372,A40)</f>
        <v>233</v>
      </c>
      <c r="I40" s="9">
        <f>SUMIFS('Daily Schedule'!$F$5:$F$372,'Daily Schedule'!$A$5:$A$372,A40,'Daily Schedule'!$C$5:$C$372,"Sun")</f>
        <v>80</v>
      </c>
      <c r="J40" s="27">
        <f t="shared" si="1"/>
        <v>-10</v>
      </c>
      <c r="K40" s="9">
        <f>COUNTIFS('Daily Schedule'!$A$5:$A$372,A40,'Daily Schedule'!$I$5:$I$372,"KB*")</f>
        <v>3</v>
      </c>
      <c r="L40" s="13" t="s">
        <v>340</v>
      </c>
    </row>
    <row r="41" ht="15.75" customHeight="1">
      <c r="A41" s="9">
        <v>36.0</v>
      </c>
      <c r="B41" s="12">
        <v>46545.0</v>
      </c>
      <c r="C41" s="12">
        <v>46551.0</v>
      </c>
      <c r="D41" s="13" t="s">
        <v>319</v>
      </c>
      <c r="E41" s="14" t="s">
        <v>132</v>
      </c>
      <c r="F41" s="13" t="s">
        <v>148</v>
      </c>
      <c r="G41" s="9">
        <f>COUNTIFS('Daily Schedule'!$A$5:$A$372,A41,'Daily Schedule'!$F$5:$F$372,"&gt;0")</f>
        <v>5</v>
      </c>
      <c r="H41" s="9">
        <f>SUMIFS('Daily Schedule'!$F$5:$F$372,'Daily Schedule'!$A$5:$A$372,A41)</f>
        <v>245</v>
      </c>
      <c r="I41" s="9">
        <f>SUMIFS('Daily Schedule'!$F$5:$F$372,'Daily Schedule'!$A$5:$A$372,A41,'Daily Schedule'!$C$5:$C$372,"Sun")</f>
        <v>90</v>
      </c>
      <c r="J41" s="27">
        <f t="shared" si="1"/>
        <v>10</v>
      </c>
      <c r="K41" s="9">
        <f>COUNTIFS('Daily Schedule'!$A$5:$A$372,A41,'Daily Schedule'!$I$5:$I$372,"KB*")</f>
        <v>3</v>
      </c>
      <c r="L41" s="13" t="s">
        <v>340</v>
      </c>
    </row>
    <row r="42" ht="15.75" customHeight="1">
      <c r="A42" s="32">
        <v>37.0</v>
      </c>
      <c r="B42" s="33">
        <v>46552.0</v>
      </c>
      <c r="C42" s="33">
        <v>46558.0</v>
      </c>
      <c r="D42" s="34" t="s">
        <v>319</v>
      </c>
      <c r="E42" s="35" t="s">
        <v>214</v>
      </c>
      <c r="F42" s="34" t="s">
        <v>133</v>
      </c>
      <c r="G42" s="32">
        <f>COUNTIFS('Daily Schedule'!$A$5:$A$372,A42,'Daily Schedule'!$F$5:$F$372,"&gt;0")</f>
        <v>5</v>
      </c>
      <c r="H42" s="32">
        <f>SUMIFS('Daily Schedule'!$F$5:$F$372,'Daily Schedule'!$A$5:$A$372,A42)</f>
        <v>203</v>
      </c>
      <c r="I42" s="32">
        <f>SUMIFS('Daily Schedule'!$F$5:$F$372,'Daily Schedule'!$A$5:$A$372,A42,'Daily Schedule'!$C$5:$C$372,"Sun")</f>
        <v>65</v>
      </c>
      <c r="J42" s="36">
        <f t="shared" si="1"/>
        <v>-25</v>
      </c>
      <c r="K42" s="32">
        <f>COUNTIFS('Daily Schedule'!$A$5:$A$372,A42,'Daily Schedule'!$I$5:$I$372,"KB*")</f>
        <v>3</v>
      </c>
      <c r="L42" s="34" t="s">
        <v>340</v>
      </c>
    </row>
    <row r="43" ht="15.75" customHeight="1">
      <c r="A43" s="9">
        <v>38.0</v>
      </c>
      <c r="B43" s="12">
        <v>46559.0</v>
      </c>
      <c r="C43" s="12">
        <v>46565.0</v>
      </c>
      <c r="D43" s="13" t="s">
        <v>319</v>
      </c>
      <c r="E43" s="14" t="s">
        <v>132</v>
      </c>
      <c r="F43" s="13" t="s">
        <v>148</v>
      </c>
      <c r="G43" s="9">
        <f>COUNTIFS('Daily Schedule'!$A$5:$A$372,A43,'Daily Schedule'!$F$5:$F$372,"&gt;0")</f>
        <v>5</v>
      </c>
      <c r="H43" s="9">
        <f>SUMIFS('Daily Schedule'!$F$5:$F$372,'Daily Schedule'!$A$5:$A$372,A43)</f>
        <v>245</v>
      </c>
      <c r="I43" s="9">
        <f>SUMIFS('Daily Schedule'!$F$5:$F$372,'Daily Schedule'!$A$5:$A$372,A43,'Daily Schedule'!$C$5:$C$372,"Sun")</f>
        <v>90</v>
      </c>
      <c r="J43" s="27">
        <f t="shared" si="1"/>
        <v>25</v>
      </c>
      <c r="K43" s="9">
        <f>COUNTIFS('Daily Schedule'!$A$5:$A$372,A43,'Daily Schedule'!$I$5:$I$372,"KB*")</f>
        <v>3</v>
      </c>
      <c r="L43" s="13" t="s">
        <v>340</v>
      </c>
    </row>
    <row r="44" ht="15.75" customHeight="1">
      <c r="A44" s="9">
        <v>39.0</v>
      </c>
      <c r="B44" s="12">
        <v>46566.0</v>
      </c>
      <c r="C44" s="12">
        <v>46572.0</v>
      </c>
      <c r="D44" s="13" t="s">
        <v>319</v>
      </c>
      <c r="E44" s="14" t="s">
        <v>132</v>
      </c>
      <c r="F44" s="13" t="s">
        <v>133</v>
      </c>
      <c r="G44" s="9">
        <f>COUNTIFS('Daily Schedule'!$A$5:$A$372,A44,'Daily Schedule'!$F$5:$F$372,"&gt;0")</f>
        <v>5</v>
      </c>
      <c r="H44" s="9">
        <f>SUMIFS('Daily Schedule'!$F$5:$F$372,'Daily Schedule'!$A$5:$A$372,A44)</f>
        <v>233</v>
      </c>
      <c r="I44" s="9">
        <f>SUMIFS('Daily Schedule'!$F$5:$F$372,'Daily Schedule'!$A$5:$A$372,A44,'Daily Schedule'!$C$5:$C$372,"Sun")</f>
        <v>80</v>
      </c>
      <c r="J44" s="27">
        <f t="shared" si="1"/>
        <v>-10</v>
      </c>
      <c r="K44" s="9">
        <f>COUNTIFS('Daily Schedule'!$A$5:$A$372,A44,'Daily Schedule'!$I$5:$I$372,"KB*")</f>
        <v>3</v>
      </c>
      <c r="L44" s="13" t="s">
        <v>340</v>
      </c>
    </row>
    <row r="45" ht="15.75" customHeight="1">
      <c r="A45" s="9">
        <v>40.0</v>
      </c>
      <c r="B45" s="12">
        <v>46573.0</v>
      </c>
      <c r="C45" s="12">
        <v>46579.0</v>
      </c>
      <c r="D45" s="13" t="s">
        <v>319</v>
      </c>
      <c r="E45" s="14" t="s">
        <v>132</v>
      </c>
      <c r="F45" s="13" t="s">
        <v>148</v>
      </c>
      <c r="G45" s="9">
        <f>COUNTIFS('Daily Schedule'!$A$5:$A$372,A45,'Daily Schedule'!$F$5:$F$372,"&gt;0")</f>
        <v>5</v>
      </c>
      <c r="H45" s="9">
        <f>SUMIFS('Daily Schedule'!$F$5:$F$372,'Daily Schedule'!$A$5:$A$372,A45)</f>
        <v>245</v>
      </c>
      <c r="I45" s="9">
        <f>SUMIFS('Daily Schedule'!$F$5:$F$372,'Daily Schedule'!$A$5:$A$372,A45,'Daily Schedule'!$C$5:$C$372,"Sun")</f>
        <v>90</v>
      </c>
      <c r="J45" s="27">
        <f t="shared" si="1"/>
        <v>10</v>
      </c>
      <c r="K45" s="9">
        <f>COUNTIFS('Daily Schedule'!$A$5:$A$372,A45,'Daily Schedule'!$I$5:$I$372,"KB*")</f>
        <v>3</v>
      </c>
      <c r="L45" s="13" t="s">
        <v>340</v>
      </c>
    </row>
    <row r="46" ht="15.75" customHeight="1">
      <c r="A46" s="37">
        <v>41.0</v>
      </c>
      <c r="B46" s="40">
        <v>46580.0</v>
      </c>
      <c r="C46" s="40">
        <v>46586.0</v>
      </c>
      <c r="D46" s="39" t="s">
        <v>319</v>
      </c>
      <c r="E46" s="38" t="s">
        <v>335</v>
      </c>
      <c r="F46" s="39" t="s">
        <v>356</v>
      </c>
      <c r="G46" s="37">
        <f>COUNTIFS('Daily Schedule'!$A$5:$A$372,A46,'Daily Schedule'!$F$5:$F$372,"&gt;0")</f>
        <v>5</v>
      </c>
      <c r="H46" s="37">
        <f>SUMIFS('Daily Schedule'!$F$5:$F$372,'Daily Schedule'!$A$5:$A$372,A46)</f>
        <v>202</v>
      </c>
      <c r="I46" s="37">
        <f>SUMIFS('Daily Schedule'!$F$5:$F$372,'Daily Schedule'!$A$5:$A$372,A46,'Daily Schedule'!$C$5:$C$372,"Sun")</f>
        <v>45</v>
      </c>
      <c r="J46" s="41">
        <f t="shared" si="1"/>
        <v>-45</v>
      </c>
      <c r="K46" s="37">
        <f>COUNTIFS('Daily Schedule'!$A$5:$A$372,A46,'Daily Schedule'!$I$5:$I$372,"KB*")</f>
        <v>2</v>
      </c>
      <c r="L46" s="39" t="s">
        <v>360</v>
      </c>
    </row>
    <row r="47" ht="15.75" customHeight="1">
      <c r="A47" s="9">
        <v>42.0</v>
      </c>
      <c r="B47" s="12">
        <v>46587.0</v>
      </c>
      <c r="C47" s="12">
        <v>46593.0</v>
      </c>
      <c r="D47" s="13" t="s">
        <v>348</v>
      </c>
      <c r="E47" s="14" t="s">
        <v>132</v>
      </c>
      <c r="F47" s="13" t="s">
        <v>148</v>
      </c>
      <c r="G47" s="9">
        <f>COUNTIFS('Daily Schedule'!$A$5:$A$372,A47,'Daily Schedule'!$F$5:$F$372,"&gt;0")</f>
        <v>5</v>
      </c>
      <c r="H47" s="9">
        <f>SUMIFS('Daily Schedule'!$F$5:$F$372,'Daily Schedule'!$A$5:$A$372,A47)</f>
        <v>245</v>
      </c>
      <c r="I47" s="9">
        <f>SUMIFS('Daily Schedule'!$F$5:$F$372,'Daily Schedule'!$A$5:$A$372,A47,'Daily Schedule'!$C$5:$C$372,"Sun")</f>
        <v>90</v>
      </c>
      <c r="J47" s="27">
        <f t="shared" si="1"/>
        <v>45</v>
      </c>
      <c r="K47" s="9">
        <f>COUNTIFS('Daily Schedule'!$A$5:$A$372,A47,'Daily Schedule'!$I$5:$I$372,"KB*")</f>
        <v>3</v>
      </c>
      <c r="L47" s="13" t="s">
        <v>361</v>
      </c>
    </row>
    <row r="48" ht="15.75" customHeight="1">
      <c r="A48" s="9">
        <v>43.0</v>
      </c>
      <c r="B48" s="12">
        <v>46594.0</v>
      </c>
      <c r="C48" s="12">
        <v>46600.0</v>
      </c>
      <c r="D48" s="13" t="s">
        <v>348</v>
      </c>
      <c r="E48" s="14" t="s">
        <v>132</v>
      </c>
      <c r="F48" s="13" t="s">
        <v>133</v>
      </c>
      <c r="G48" s="9">
        <f>COUNTIFS('Daily Schedule'!$A$5:$A$372,A48,'Daily Schedule'!$F$5:$F$372,"&gt;0")</f>
        <v>5</v>
      </c>
      <c r="H48" s="9">
        <f>SUMIFS('Daily Schedule'!$F$5:$F$372,'Daily Schedule'!$A$5:$A$372,A48)</f>
        <v>238</v>
      </c>
      <c r="I48" s="9">
        <f>SUMIFS('Daily Schedule'!$F$5:$F$372,'Daily Schedule'!$A$5:$A$372,A48,'Daily Schedule'!$C$5:$C$372,"Sun")</f>
        <v>85</v>
      </c>
      <c r="J48" s="27">
        <f t="shared" si="1"/>
        <v>-5</v>
      </c>
      <c r="K48" s="9">
        <f>COUNTIFS('Daily Schedule'!$A$5:$A$372,A48,'Daily Schedule'!$I$5:$I$372,"KB*")</f>
        <v>3</v>
      </c>
      <c r="L48" s="13" t="s">
        <v>361</v>
      </c>
    </row>
    <row r="49" ht="15.75" customHeight="1">
      <c r="A49" s="9">
        <v>44.0</v>
      </c>
      <c r="B49" s="12">
        <v>46601.0</v>
      </c>
      <c r="C49" s="12">
        <v>46607.0</v>
      </c>
      <c r="D49" s="13" t="s">
        <v>348</v>
      </c>
      <c r="E49" s="14" t="s">
        <v>132</v>
      </c>
      <c r="F49" s="13" t="s">
        <v>148</v>
      </c>
      <c r="G49" s="9">
        <f>COUNTIFS('Daily Schedule'!$A$5:$A$372,A49,'Daily Schedule'!$F$5:$F$372,"&gt;0")</f>
        <v>5</v>
      </c>
      <c r="H49" s="9">
        <f>SUMIFS('Daily Schedule'!$F$5:$F$372,'Daily Schedule'!$A$5:$A$372,A49)</f>
        <v>245</v>
      </c>
      <c r="I49" s="9">
        <f>SUMIFS('Daily Schedule'!$F$5:$F$372,'Daily Schedule'!$A$5:$A$372,A49,'Daily Schedule'!$C$5:$C$372,"Sun")</f>
        <v>90</v>
      </c>
      <c r="J49" s="27">
        <f t="shared" si="1"/>
        <v>5</v>
      </c>
      <c r="K49" s="9">
        <f>COUNTIFS('Daily Schedule'!$A$5:$A$372,A49,'Daily Schedule'!$I$5:$I$372,"KB*")</f>
        <v>3</v>
      </c>
      <c r="L49" s="13" t="s">
        <v>361</v>
      </c>
    </row>
    <row r="50" ht="15.75" customHeight="1">
      <c r="A50" s="32">
        <v>45.0</v>
      </c>
      <c r="B50" s="33">
        <v>46608.0</v>
      </c>
      <c r="C50" s="33">
        <v>46614.0</v>
      </c>
      <c r="D50" s="34" t="s">
        <v>348</v>
      </c>
      <c r="E50" s="35" t="s">
        <v>214</v>
      </c>
      <c r="F50" s="34" t="s">
        <v>133</v>
      </c>
      <c r="G50" s="32">
        <f>COUNTIFS('Daily Schedule'!$A$5:$A$372,A50,'Daily Schedule'!$F$5:$F$372,"&gt;0")</f>
        <v>5</v>
      </c>
      <c r="H50" s="32">
        <f>SUMIFS('Daily Schedule'!$F$5:$F$372,'Daily Schedule'!$A$5:$A$372,A50)</f>
        <v>203</v>
      </c>
      <c r="I50" s="32">
        <f>SUMIFS('Daily Schedule'!$F$5:$F$372,'Daily Schedule'!$A$5:$A$372,A50,'Daily Schedule'!$C$5:$C$372,"Sun")</f>
        <v>65</v>
      </c>
      <c r="J50" s="36">
        <f t="shared" si="1"/>
        <v>-25</v>
      </c>
      <c r="K50" s="32">
        <f>COUNTIFS('Daily Schedule'!$A$5:$A$372,A50,'Daily Schedule'!$I$5:$I$372,"KB*")</f>
        <v>3</v>
      </c>
      <c r="L50" s="34" t="s">
        <v>361</v>
      </c>
    </row>
    <row r="51" ht="15.75" customHeight="1">
      <c r="A51" s="9">
        <v>46.0</v>
      </c>
      <c r="B51" s="12">
        <v>46615.0</v>
      </c>
      <c r="C51" s="12">
        <v>46621.0</v>
      </c>
      <c r="D51" s="13" t="s">
        <v>348</v>
      </c>
      <c r="E51" s="14" t="s">
        <v>132</v>
      </c>
      <c r="F51" s="13" t="s">
        <v>148</v>
      </c>
      <c r="G51" s="9">
        <f>COUNTIFS('Daily Schedule'!$A$5:$A$372,A51,'Daily Schedule'!$F$5:$F$372,"&gt;0")</f>
        <v>5</v>
      </c>
      <c r="H51" s="9">
        <f>SUMIFS('Daily Schedule'!$F$5:$F$372,'Daily Schedule'!$A$5:$A$372,A51)</f>
        <v>245</v>
      </c>
      <c r="I51" s="9">
        <f>SUMIFS('Daily Schedule'!$F$5:$F$372,'Daily Schedule'!$A$5:$A$372,A51,'Daily Schedule'!$C$5:$C$372,"Sun")</f>
        <v>90</v>
      </c>
      <c r="J51" s="27">
        <f t="shared" si="1"/>
        <v>25</v>
      </c>
      <c r="K51" s="9">
        <f>COUNTIFS('Daily Schedule'!$A$5:$A$372,A51,'Daily Schedule'!$I$5:$I$372,"KB*")</f>
        <v>3</v>
      </c>
      <c r="L51" s="13" t="s">
        <v>361</v>
      </c>
    </row>
    <row r="52" ht="15.75" customHeight="1">
      <c r="A52" s="9">
        <v>47.0</v>
      </c>
      <c r="B52" s="12">
        <v>46622.0</v>
      </c>
      <c r="C52" s="12">
        <v>46628.0</v>
      </c>
      <c r="D52" s="13" t="s">
        <v>348</v>
      </c>
      <c r="E52" s="14" t="s">
        <v>132</v>
      </c>
      <c r="F52" s="13" t="s">
        <v>133</v>
      </c>
      <c r="G52" s="9">
        <f>COUNTIFS('Daily Schedule'!$A$5:$A$372,A52,'Daily Schedule'!$F$5:$F$372,"&gt;0")</f>
        <v>5</v>
      </c>
      <c r="H52" s="9">
        <f>SUMIFS('Daily Schedule'!$F$5:$F$372,'Daily Schedule'!$A$5:$A$372,A52)</f>
        <v>238</v>
      </c>
      <c r="I52" s="9">
        <f>SUMIFS('Daily Schedule'!$F$5:$F$372,'Daily Schedule'!$A$5:$A$372,A52,'Daily Schedule'!$C$5:$C$372,"Sun")</f>
        <v>85</v>
      </c>
      <c r="J52" s="27">
        <f t="shared" si="1"/>
        <v>-5</v>
      </c>
      <c r="K52" s="9">
        <f>COUNTIFS('Daily Schedule'!$A$5:$A$372,A52,'Daily Schedule'!$I$5:$I$372,"KB*")</f>
        <v>3</v>
      </c>
      <c r="L52" s="13" t="s">
        <v>361</v>
      </c>
    </row>
    <row r="53" ht="15.75" customHeight="1">
      <c r="A53" s="9">
        <v>48.0</v>
      </c>
      <c r="B53" s="12">
        <v>46629.0</v>
      </c>
      <c r="C53" s="12">
        <v>46635.0</v>
      </c>
      <c r="D53" s="13" t="s">
        <v>348</v>
      </c>
      <c r="E53" s="14" t="s">
        <v>132</v>
      </c>
      <c r="F53" s="13" t="s">
        <v>148</v>
      </c>
      <c r="G53" s="9">
        <f>COUNTIFS('Daily Schedule'!$A$5:$A$372,A53,'Daily Schedule'!$F$5:$F$372,"&gt;0")</f>
        <v>5</v>
      </c>
      <c r="H53" s="9">
        <f>SUMIFS('Daily Schedule'!$F$5:$F$372,'Daily Schedule'!$A$5:$A$372,A53)</f>
        <v>245</v>
      </c>
      <c r="I53" s="9">
        <f>SUMIFS('Daily Schedule'!$F$5:$F$372,'Daily Schedule'!$A$5:$A$372,A53,'Daily Schedule'!$C$5:$C$372,"Sun")</f>
        <v>90</v>
      </c>
      <c r="J53" s="27">
        <f t="shared" si="1"/>
        <v>5</v>
      </c>
      <c r="K53" s="9">
        <f>COUNTIFS('Daily Schedule'!$A$5:$A$372,A53,'Daily Schedule'!$I$5:$I$372,"KB*")</f>
        <v>3</v>
      </c>
      <c r="L53" s="13" t="s">
        <v>361</v>
      </c>
    </row>
    <row r="54" ht="15.75" customHeight="1">
      <c r="A54" s="32">
        <v>49.0</v>
      </c>
      <c r="B54" s="33">
        <v>46636.0</v>
      </c>
      <c r="C54" s="33">
        <v>46642.0</v>
      </c>
      <c r="D54" s="34" t="s">
        <v>348</v>
      </c>
      <c r="E54" s="35" t="s">
        <v>214</v>
      </c>
      <c r="F54" s="34" t="s">
        <v>133</v>
      </c>
      <c r="G54" s="32">
        <f>COUNTIFS('Daily Schedule'!$A$5:$A$372,A54,'Daily Schedule'!$F$5:$F$372,"&gt;0")</f>
        <v>5</v>
      </c>
      <c r="H54" s="32">
        <f>SUMIFS('Daily Schedule'!$F$5:$F$372,'Daily Schedule'!$A$5:$A$372,A54)</f>
        <v>203</v>
      </c>
      <c r="I54" s="32">
        <f>SUMIFS('Daily Schedule'!$F$5:$F$372,'Daily Schedule'!$A$5:$A$372,A54,'Daily Schedule'!$C$5:$C$372,"Sun")</f>
        <v>65</v>
      </c>
      <c r="J54" s="36">
        <f t="shared" si="1"/>
        <v>-25</v>
      </c>
      <c r="K54" s="32">
        <f>COUNTIFS('Daily Schedule'!$A$5:$A$372,A54,'Daily Schedule'!$I$5:$I$372,"KB*")</f>
        <v>3</v>
      </c>
      <c r="L54" s="34" t="s">
        <v>361</v>
      </c>
    </row>
    <row r="55" ht="15.75" customHeight="1">
      <c r="A55" s="9">
        <v>50.0</v>
      </c>
      <c r="B55" s="12">
        <v>46643.0</v>
      </c>
      <c r="C55" s="12">
        <v>46649.0</v>
      </c>
      <c r="D55" s="13" t="s">
        <v>348</v>
      </c>
      <c r="E55" s="14" t="s">
        <v>132</v>
      </c>
      <c r="F55" s="13" t="s">
        <v>148</v>
      </c>
      <c r="G55" s="9">
        <f>COUNTIFS('Daily Schedule'!$A$5:$A$372,A55,'Daily Schedule'!$F$5:$F$372,"&gt;0")</f>
        <v>5</v>
      </c>
      <c r="H55" s="9">
        <f>SUMIFS('Daily Schedule'!$F$5:$F$372,'Daily Schedule'!$A$5:$A$372,A55)</f>
        <v>242</v>
      </c>
      <c r="I55" s="9">
        <f>SUMIFS('Daily Schedule'!$F$5:$F$372,'Daily Schedule'!$A$5:$A$372,A55,'Daily Schedule'!$C$5:$C$372,"Sun")</f>
        <v>90</v>
      </c>
      <c r="J55" s="27">
        <f t="shared" si="1"/>
        <v>25</v>
      </c>
      <c r="K55" s="9">
        <f>COUNTIFS('Daily Schedule'!$A$5:$A$372,A55,'Daily Schedule'!$I$5:$I$372,"KB*")</f>
        <v>3</v>
      </c>
      <c r="L55" s="13" t="s">
        <v>361</v>
      </c>
    </row>
    <row r="56" ht="15.75" customHeight="1">
      <c r="A56" s="9">
        <v>51.0</v>
      </c>
      <c r="B56" s="12">
        <v>46650.0</v>
      </c>
      <c r="C56" s="12">
        <v>46656.0</v>
      </c>
      <c r="D56" s="13" t="s">
        <v>348</v>
      </c>
      <c r="E56" s="14" t="s">
        <v>132</v>
      </c>
      <c r="F56" s="13" t="s">
        <v>133</v>
      </c>
      <c r="G56" s="9">
        <f>COUNTIFS('Daily Schedule'!$A$5:$A$372,A56,'Daily Schedule'!$F$5:$F$372,"&gt;0")</f>
        <v>5</v>
      </c>
      <c r="H56" s="9">
        <f>SUMIFS('Daily Schedule'!$F$5:$F$372,'Daily Schedule'!$A$5:$A$372,A56)</f>
        <v>224</v>
      </c>
      <c r="I56" s="9">
        <f>SUMIFS('Daily Schedule'!$F$5:$F$372,'Daily Schedule'!$A$5:$A$372,A56,'Daily Schedule'!$C$5:$C$372,"Sun")</f>
        <v>75</v>
      </c>
      <c r="J56" s="27">
        <f t="shared" si="1"/>
        <v>-15</v>
      </c>
      <c r="K56" s="9">
        <f>COUNTIFS('Daily Schedule'!$A$5:$A$372,A56,'Daily Schedule'!$I$5:$I$372,"KB*")</f>
        <v>3</v>
      </c>
      <c r="L56" s="13" t="s">
        <v>361</v>
      </c>
    </row>
    <row r="57" ht="15.75" customHeight="1">
      <c r="A57" s="37">
        <v>52.0</v>
      </c>
      <c r="B57" s="40">
        <v>46657.0</v>
      </c>
      <c r="C57" s="40">
        <v>46663.0</v>
      </c>
      <c r="D57" s="39" t="s">
        <v>348</v>
      </c>
      <c r="E57" s="38" t="s">
        <v>335</v>
      </c>
      <c r="F57" s="39" t="s">
        <v>372</v>
      </c>
      <c r="G57" s="37">
        <f>COUNTIFS('Daily Schedule'!$A$5:$A$372,A57,'Daily Schedule'!$F$5:$F$372,"&gt;0")</f>
        <v>5</v>
      </c>
      <c r="H57" s="37">
        <f>SUMIFS('Daily Schedule'!$F$5:$F$372,'Daily Schedule'!$A$5:$A$372,A57)</f>
        <v>192</v>
      </c>
      <c r="I57" s="37">
        <f>SUMIFS('Daily Schedule'!$F$5:$F$372,'Daily Schedule'!$A$5:$A$372,A57,'Daily Schedule'!$C$5:$C$372,"Sun")</f>
        <v>90</v>
      </c>
      <c r="J57" s="41">
        <f t="shared" si="1"/>
        <v>15</v>
      </c>
      <c r="K57" s="37">
        <f>COUNTIFS('Daily Schedule'!$A$5:$A$372,A57,'Daily Schedule'!$I$5:$I$372,"KB*")</f>
        <v>2</v>
      </c>
      <c r="L57" s="39" t="s">
        <v>373</v>
      </c>
    </row>
    <row r="58" ht="15.75" customHeight="1"/>
    <row r="59" ht="15.75" customHeight="1">
      <c r="D59" s="28" t="s">
        <v>374</v>
      </c>
      <c r="G59" s="42">
        <f t="shared" ref="G59:H59" si="2">SUM(G5:G57)</f>
        <v>253</v>
      </c>
      <c r="H59" s="42">
        <f t="shared" si="2"/>
        <v>10932</v>
      </c>
      <c r="K59" s="42">
        <f>SUM(K5:K57)</f>
        <v>153</v>
      </c>
    </row>
    <row r="60" ht="15.75" customHeight="1">
      <c r="D60" s="29" t="s">
        <v>375</v>
      </c>
      <c r="H60" s="43">
        <f>H59/60</f>
        <v>182.2</v>
      </c>
      <c r="I60" s="44"/>
    </row>
    <row r="61" ht="15.75" customHeight="1">
      <c r="D61" s="29" t="s">
        <v>376</v>
      </c>
      <c r="H61" s="45">
        <f>AVERAGE(H6:H57)</f>
        <v>208.0192308</v>
      </c>
      <c r="I61" s="44"/>
    </row>
    <row r="62" ht="15.75" customHeight="1">
      <c r="D62" s="29" t="s">
        <v>377</v>
      </c>
      <c r="H62" s="44"/>
      <c r="I62" s="46">
        <f>MAX(I5:I57)</f>
        <v>90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/>
  <cols>
    <col customWidth="1" min="1" max="1" width="7.0"/>
    <col customWidth="1" min="2" max="2" width="12.0"/>
    <col customWidth="1" min="3" max="3" width="6.0"/>
    <col customWidth="1" min="4" max="4" width="24.0"/>
    <col customWidth="1" min="5" max="5" width="26.0"/>
    <col customWidth="1" min="6" max="6" width="9.0"/>
    <col customWidth="1" min="7" max="7" width="26.0"/>
    <col customWidth="1" min="8" max="8" width="70.0"/>
    <col customWidth="1" min="9" max="9" width="62.0"/>
    <col customWidth="1" min="10" max="10" width="48.0"/>
    <col customWidth="1" min="11" max="26" width="8.71"/>
  </cols>
  <sheetData>
    <row r="1">
      <c r="A1" s="4" t="s">
        <v>5</v>
      </c>
    </row>
    <row r="2">
      <c r="A2" s="7" t="s">
        <v>11</v>
      </c>
    </row>
    <row r="4">
      <c r="A4" s="8" t="s">
        <v>16</v>
      </c>
      <c r="B4" s="8" t="s">
        <v>27</v>
      </c>
      <c r="C4" s="8" t="s">
        <v>32</v>
      </c>
      <c r="D4" s="8" t="s">
        <v>33</v>
      </c>
      <c r="E4" s="8" t="s">
        <v>39</v>
      </c>
      <c r="F4" s="8" t="s">
        <v>42</v>
      </c>
      <c r="G4" s="8" t="s">
        <v>45</v>
      </c>
      <c r="H4" s="8" t="s">
        <v>48</v>
      </c>
      <c r="I4" s="8" t="s">
        <v>51</v>
      </c>
      <c r="J4" s="8" t="s">
        <v>55</v>
      </c>
    </row>
    <row r="5">
      <c r="A5" s="9">
        <v>0.0</v>
      </c>
      <c r="B5" s="11">
        <v>46295.0</v>
      </c>
      <c r="C5" s="9" t="s">
        <v>68</v>
      </c>
      <c r="D5" s="14" t="s">
        <v>69</v>
      </c>
      <c r="E5" s="14" t="s">
        <v>73</v>
      </c>
      <c r="F5" s="9">
        <v>30.0</v>
      </c>
      <c r="G5" s="13" t="s">
        <v>76</v>
      </c>
      <c r="H5" s="13" t="s">
        <v>78</v>
      </c>
      <c r="I5" s="13" t="s">
        <v>81</v>
      </c>
      <c r="J5" s="13" t="s">
        <v>83</v>
      </c>
    </row>
    <row r="6">
      <c r="A6" s="15">
        <v>0.0</v>
      </c>
      <c r="B6" s="16">
        <v>46296.0</v>
      </c>
      <c r="C6" s="15" t="s">
        <v>95</v>
      </c>
      <c r="D6" s="17" t="s">
        <v>69</v>
      </c>
      <c r="E6" s="17" t="s">
        <v>100</v>
      </c>
      <c r="F6" s="15">
        <v>0.0</v>
      </c>
      <c r="G6" s="18" t="s">
        <v>81</v>
      </c>
      <c r="H6" s="18" t="s">
        <v>107</v>
      </c>
      <c r="I6" s="18" t="s">
        <v>108</v>
      </c>
      <c r="J6" s="18"/>
    </row>
    <row r="7">
      <c r="A7" s="9">
        <v>0.0</v>
      </c>
      <c r="B7" s="11">
        <v>46297.0</v>
      </c>
      <c r="C7" s="9" t="s">
        <v>109</v>
      </c>
      <c r="D7" s="14" t="s">
        <v>69</v>
      </c>
      <c r="E7" s="14" t="s">
        <v>73</v>
      </c>
      <c r="F7" s="9">
        <v>30.0</v>
      </c>
      <c r="G7" s="13" t="s">
        <v>110</v>
      </c>
      <c r="H7" s="13" t="s">
        <v>111</v>
      </c>
      <c r="I7" s="13" t="s">
        <v>81</v>
      </c>
      <c r="J7" s="13"/>
    </row>
    <row r="8">
      <c r="A8" s="19">
        <v>0.0</v>
      </c>
      <c r="B8" s="20">
        <v>46298.0</v>
      </c>
      <c r="C8" s="19" t="s">
        <v>112</v>
      </c>
      <c r="D8" s="21" t="s">
        <v>69</v>
      </c>
      <c r="E8" s="21" t="s">
        <v>113</v>
      </c>
      <c r="F8" s="19">
        <v>55.0</v>
      </c>
      <c r="G8" s="22" t="s">
        <v>76</v>
      </c>
      <c r="H8" s="22" t="s">
        <v>114</v>
      </c>
      <c r="I8" s="22" t="s">
        <v>81</v>
      </c>
      <c r="J8" s="22" t="s">
        <v>115</v>
      </c>
    </row>
    <row r="9">
      <c r="A9" s="15">
        <v>1.0</v>
      </c>
      <c r="B9" s="16">
        <v>46299.0</v>
      </c>
      <c r="C9" s="15" t="s">
        <v>116</v>
      </c>
      <c r="D9" s="17" t="s">
        <v>69</v>
      </c>
      <c r="E9" s="17" t="s">
        <v>100</v>
      </c>
      <c r="F9" s="15">
        <v>0.0</v>
      </c>
      <c r="G9" s="18" t="s">
        <v>81</v>
      </c>
      <c r="H9" s="18" t="s">
        <v>117</v>
      </c>
      <c r="I9" s="18" t="s">
        <v>118</v>
      </c>
      <c r="J9" s="18"/>
    </row>
    <row r="10">
      <c r="A10" s="23">
        <v>1.0</v>
      </c>
      <c r="B10" s="24">
        <v>46300.0</v>
      </c>
      <c r="C10" s="23" t="s">
        <v>119</v>
      </c>
      <c r="D10" s="25" t="s">
        <v>69</v>
      </c>
      <c r="E10" s="25" t="s">
        <v>120</v>
      </c>
      <c r="F10" s="23">
        <v>37.0</v>
      </c>
      <c r="G10" s="26" t="s">
        <v>121</v>
      </c>
      <c r="H10" s="26" t="s">
        <v>122</v>
      </c>
      <c r="I10" s="26" t="s">
        <v>81</v>
      </c>
      <c r="J10" s="26" t="s">
        <v>123</v>
      </c>
    </row>
    <row r="11">
      <c r="A11" s="9">
        <v>1.0</v>
      </c>
      <c r="B11" s="11">
        <v>46301.0</v>
      </c>
      <c r="C11" s="9" t="s">
        <v>124</v>
      </c>
      <c r="D11" s="14" t="s">
        <v>69</v>
      </c>
      <c r="E11" s="14" t="s">
        <v>73</v>
      </c>
      <c r="F11" s="9">
        <v>30.0</v>
      </c>
      <c r="G11" s="13" t="s">
        <v>76</v>
      </c>
      <c r="H11" s="13" t="s">
        <v>78</v>
      </c>
      <c r="I11" s="13" t="s">
        <v>125</v>
      </c>
      <c r="J11" s="13"/>
    </row>
    <row r="12">
      <c r="A12" s="23">
        <v>1.0</v>
      </c>
      <c r="B12" s="24">
        <v>46302.0</v>
      </c>
      <c r="C12" s="23" t="s">
        <v>68</v>
      </c>
      <c r="D12" s="25" t="s">
        <v>69</v>
      </c>
      <c r="E12" s="25" t="s">
        <v>126</v>
      </c>
      <c r="F12" s="23">
        <v>35.0</v>
      </c>
      <c r="G12" s="26" t="s">
        <v>127</v>
      </c>
      <c r="H12" s="26" t="s">
        <v>128</v>
      </c>
      <c r="I12" s="26" t="s">
        <v>81</v>
      </c>
      <c r="J12" s="26" t="s">
        <v>129</v>
      </c>
    </row>
    <row r="13">
      <c r="A13" s="15">
        <v>1.0</v>
      </c>
      <c r="B13" s="16">
        <v>46303.0</v>
      </c>
      <c r="C13" s="15" t="s">
        <v>95</v>
      </c>
      <c r="D13" s="17" t="s">
        <v>69</v>
      </c>
      <c r="E13" s="17" t="s">
        <v>100</v>
      </c>
      <c r="F13" s="15">
        <v>0.0</v>
      </c>
      <c r="G13" s="18" t="s">
        <v>81</v>
      </c>
      <c r="H13" s="18" t="s">
        <v>107</v>
      </c>
      <c r="I13" s="18" t="s">
        <v>131</v>
      </c>
      <c r="J13" s="18"/>
    </row>
    <row r="14">
      <c r="A14" s="9">
        <v>1.0</v>
      </c>
      <c r="B14" s="11">
        <v>46304.0</v>
      </c>
      <c r="C14" s="9" t="s">
        <v>109</v>
      </c>
      <c r="D14" s="14" t="s">
        <v>69</v>
      </c>
      <c r="E14" s="14" t="s">
        <v>73</v>
      </c>
      <c r="F14" s="9">
        <v>30.0</v>
      </c>
      <c r="G14" s="13" t="s">
        <v>110</v>
      </c>
      <c r="H14" s="13" t="s">
        <v>111</v>
      </c>
      <c r="I14" s="13" t="s">
        <v>81</v>
      </c>
      <c r="J14" s="13" t="s">
        <v>134</v>
      </c>
    </row>
    <row r="15">
      <c r="A15" s="19">
        <v>1.0</v>
      </c>
      <c r="B15" s="20">
        <v>46305.0</v>
      </c>
      <c r="C15" s="19" t="s">
        <v>112</v>
      </c>
      <c r="D15" s="21" t="s">
        <v>69</v>
      </c>
      <c r="E15" s="21" t="s">
        <v>113</v>
      </c>
      <c r="F15" s="19">
        <v>60.0</v>
      </c>
      <c r="G15" s="22" t="s">
        <v>76</v>
      </c>
      <c r="H15" s="22" t="s">
        <v>135</v>
      </c>
      <c r="I15" s="22" t="s">
        <v>81</v>
      </c>
      <c r="J15" s="22"/>
    </row>
    <row r="16">
      <c r="A16" s="15">
        <v>2.0</v>
      </c>
      <c r="B16" s="16">
        <v>46306.0</v>
      </c>
      <c r="C16" s="15" t="s">
        <v>116</v>
      </c>
      <c r="D16" s="17" t="s">
        <v>69</v>
      </c>
      <c r="E16" s="17" t="s">
        <v>100</v>
      </c>
      <c r="F16" s="15">
        <v>0.0</v>
      </c>
      <c r="G16" s="18" t="s">
        <v>81</v>
      </c>
      <c r="H16" s="18" t="s">
        <v>117</v>
      </c>
      <c r="I16" s="18" t="s">
        <v>118</v>
      </c>
      <c r="J16" s="18"/>
    </row>
    <row r="17">
      <c r="A17" s="23">
        <v>2.0</v>
      </c>
      <c r="B17" s="24">
        <v>46307.0</v>
      </c>
      <c r="C17" s="23" t="s">
        <v>119</v>
      </c>
      <c r="D17" s="25" t="s">
        <v>69</v>
      </c>
      <c r="E17" s="25" t="s">
        <v>120</v>
      </c>
      <c r="F17" s="23">
        <v>40.0</v>
      </c>
      <c r="G17" s="26" t="s">
        <v>121</v>
      </c>
      <c r="H17" s="26" t="s">
        <v>136</v>
      </c>
      <c r="I17" s="26" t="s">
        <v>81</v>
      </c>
      <c r="J17" s="26" t="s">
        <v>123</v>
      </c>
    </row>
    <row r="18">
      <c r="A18" s="9">
        <v>2.0</v>
      </c>
      <c r="B18" s="11">
        <v>46308.0</v>
      </c>
      <c r="C18" s="9" t="s">
        <v>124</v>
      </c>
      <c r="D18" s="14" t="s">
        <v>69</v>
      </c>
      <c r="E18" s="14" t="s">
        <v>73</v>
      </c>
      <c r="F18" s="9">
        <v>30.0</v>
      </c>
      <c r="G18" s="13" t="s">
        <v>110</v>
      </c>
      <c r="H18" s="13" t="s">
        <v>111</v>
      </c>
      <c r="I18" s="13" t="s">
        <v>125</v>
      </c>
      <c r="J18" s="13"/>
    </row>
    <row r="19">
      <c r="A19" s="23">
        <v>2.0</v>
      </c>
      <c r="B19" s="24">
        <v>46309.0</v>
      </c>
      <c r="C19" s="23" t="s">
        <v>68</v>
      </c>
      <c r="D19" s="25" t="s">
        <v>69</v>
      </c>
      <c r="E19" s="25" t="s">
        <v>137</v>
      </c>
      <c r="F19" s="23">
        <v>30.0</v>
      </c>
      <c r="G19" s="26" t="s">
        <v>138</v>
      </c>
      <c r="H19" s="26" t="s">
        <v>139</v>
      </c>
      <c r="I19" s="26" t="s">
        <v>81</v>
      </c>
      <c r="J19" s="26" t="s">
        <v>140</v>
      </c>
    </row>
    <row r="20">
      <c r="A20" s="15">
        <v>2.0</v>
      </c>
      <c r="B20" s="24">
        <v>46310.0</v>
      </c>
      <c r="C20" s="15" t="s">
        <v>95</v>
      </c>
      <c r="D20" s="17" t="s">
        <v>69</v>
      </c>
      <c r="E20" s="17" t="s">
        <v>100</v>
      </c>
      <c r="F20" s="15">
        <v>0.0</v>
      </c>
      <c r="G20" s="18" t="s">
        <v>81</v>
      </c>
      <c r="H20" s="18" t="s">
        <v>107</v>
      </c>
      <c r="I20" s="18" t="s">
        <v>131</v>
      </c>
      <c r="J20" s="18"/>
    </row>
    <row r="21" ht="15.75" customHeight="1">
      <c r="A21" s="9">
        <v>2.0</v>
      </c>
      <c r="B21" s="24">
        <v>46311.0</v>
      </c>
      <c r="C21" s="9" t="s">
        <v>109</v>
      </c>
      <c r="D21" s="14" t="s">
        <v>69</v>
      </c>
      <c r="E21" s="14" t="s">
        <v>73</v>
      </c>
      <c r="F21" s="9">
        <v>30.0</v>
      </c>
      <c r="G21" s="13" t="s">
        <v>110</v>
      </c>
      <c r="H21" s="13" t="s">
        <v>111</v>
      </c>
      <c r="I21" s="13" t="s">
        <v>81</v>
      </c>
      <c r="J21" s="13" t="s">
        <v>134</v>
      </c>
    </row>
    <row r="22" ht="15.75" customHeight="1">
      <c r="A22" s="19">
        <v>2.0</v>
      </c>
      <c r="B22" s="24">
        <v>46312.0</v>
      </c>
      <c r="C22" s="19" t="s">
        <v>112</v>
      </c>
      <c r="D22" s="21" t="s">
        <v>69</v>
      </c>
      <c r="E22" s="21" t="s">
        <v>113</v>
      </c>
      <c r="F22" s="19">
        <v>60.0</v>
      </c>
      <c r="G22" s="22" t="s">
        <v>76</v>
      </c>
      <c r="H22" s="22" t="s">
        <v>135</v>
      </c>
      <c r="I22" s="22" t="s">
        <v>81</v>
      </c>
      <c r="J22" s="22"/>
    </row>
    <row r="23" ht="15.75" customHeight="1">
      <c r="A23" s="15">
        <v>3.0</v>
      </c>
      <c r="B23" s="24">
        <v>46313.0</v>
      </c>
      <c r="C23" s="15" t="s">
        <v>116</v>
      </c>
      <c r="D23" s="17" t="s">
        <v>69</v>
      </c>
      <c r="E23" s="17" t="s">
        <v>100</v>
      </c>
      <c r="F23" s="15">
        <v>0.0</v>
      </c>
      <c r="G23" s="18" t="s">
        <v>81</v>
      </c>
      <c r="H23" s="18" t="s">
        <v>117</v>
      </c>
      <c r="I23" s="18" t="s">
        <v>118</v>
      </c>
      <c r="J23" s="18"/>
    </row>
    <row r="24" ht="15.75" customHeight="1">
      <c r="A24" s="23">
        <v>3.0</v>
      </c>
      <c r="B24" s="24">
        <v>46314.0</v>
      </c>
      <c r="C24" s="23" t="s">
        <v>119</v>
      </c>
      <c r="D24" s="25" t="s">
        <v>69</v>
      </c>
      <c r="E24" s="25" t="s">
        <v>120</v>
      </c>
      <c r="F24" s="23">
        <v>38.0</v>
      </c>
      <c r="G24" s="26" t="s">
        <v>121</v>
      </c>
      <c r="H24" s="26" t="s">
        <v>146</v>
      </c>
      <c r="I24" s="26" t="s">
        <v>81</v>
      </c>
      <c r="J24" s="26" t="s">
        <v>123</v>
      </c>
    </row>
    <row r="25" ht="15.75" customHeight="1">
      <c r="A25" s="9">
        <v>3.0</v>
      </c>
      <c r="B25" s="24">
        <v>46315.0</v>
      </c>
      <c r="C25" s="9" t="s">
        <v>124</v>
      </c>
      <c r="D25" s="14" t="s">
        <v>69</v>
      </c>
      <c r="E25" s="14" t="s">
        <v>73</v>
      </c>
      <c r="F25" s="9">
        <v>30.0</v>
      </c>
      <c r="G25" s="13" t="s">
        <v>76</v>
      </c>
      <c r="H25" s="13" t="s">
        <v>78</v>
      </c>
      <c r="I25" s="13" t="s">
        <v>125</v>
      </c>
      <c r="J25" s="13"/>
    </row>
    <row r="26" ht="15.75" customHeight="1">
      <c r="A26" s="23">
        <v>3.0</v>
      </c>
      <c r="B26" s="24">
        <v>46316.0</v>
      </c>
      <c r="C26" s="23" t="s">
        <v>68</v>
      </c>
      <c r="D26" s="25" t="s">
        <v>69</v>
      </c>
      <c r="E26" s="25" t="s">
        <v>126</v>
      </c>
      <c r="F26" s="23">
        <v>35.0</v>
      </c>
      <c r="G26" s="26" t="s">
        <v>127</v>
      </c>
      <c r="H26" s="26" t="s">
        <v>150</v>
      </c>
      <c r="I26" s="26" t="s">
        <v>81</v>
      </c>
      <c r="J26" s="26" t="s">
        <v>129</v>
      </c>
    </row>
    <row r="27" ht="15.75" customHeight="1">
      <c r="A27" s="15">
        <v>3.0</v>
      </c>
      <c r="B27" s="24">
        <v>46317.0</v>
      </c>
      <c r="C27" s="15" t="s">
        <v>95</v>
      </c>
      <c r="D27" s="17" t="s">
        <v>69</v>
      </c>
      <c r="E27" s="17" t="s">
        <v>100</v>
      </c>
      <c r="F27" s="15">
        <v>0.0</v>
      </c>
      <c r="G27" s="18" t="s">
        <v>81</v>
      </c>
      <c r="H27" s="18" t="s">
        <v>107</v>
      </c>
      <c r="I27" s="18" t="s">
        <v>131</v>
      </c>
      <c r="J27" s="18"/>
    </row>
    <row r="28" ht="15.75" customHeight="1">
      <c r="A28" s="9">
        <v>3.0</v>
      </c>
      <c r="B28" s="24">
        <v>46318.0</v>
      </c>
      <c r="C28" s="9" t="s">
        <v>109</v>
      </c>
      <c r="D28" s="14" t="s">
        <v>69</v>
      </c>
      <c r="E28" s="14" t="s">
        <v>73</v>
      </c>
      <c r="F28" s="9">
        <v>30.0</v>
      </c>
      <c r="G28" s="13" t="s">
        <v>110</v>
      </c>
      <c r="H28" s="13" t="s">
        <v>111</v>
      </c>
      <c r="I28" s="13" t="s">
        <v>81</v>
      </c>
      <c r="J28" s="13" t="s">
        <v>134</v>
      </c>
    </row>
    <row r="29" ht="15.75" customHeight="1">
      <c r="A29" s="19">
        <v>3.0</v>
      </c>
      <c r="B29" s="24">
        <v>46319.0</v>
      </c>
      <c r="C29" s="19" t="s">
        <v>112</v>
      </c>
      <c r="D29" s="21" t="s">
        <v>69</v>
      </c>
      <c r="E29" s="21" t="s">
        <v>113</v>
      </c>
      <c r="F29" s="19">
        <v>65.0</v>
      </c>
      <c r="G29" s="22" t="s">
        <v>76</v>
      </c>
      <c r="H29" s="22" t="s">
        <v>161</v>
      </c>
      <c r="I29" s="22" t="s">
        <v>81</v>
      </c>
      <c r="J29" s="22"/>
    </row>
    <row r="30" ht="15.75" customHeight="1">
      <c r="A30" s="15">
        <v>4.0</v>
      </c>
      <c r="B30" s="24">
        <v>46320.0</v>
      </c>
      <c r="C30" s="15" t="s">
        <v>116</v>
      </c>
      <c r="D30" s="17" t="s">
        <v>69</v>
      </c>
      <c r="E30" s="17" t="s">
        <v>100</v>
      </c>
      <c r="F30" s="15">
        <v>0.0</v>
      </c>
      <c r="G30" s="18" t="s">
        <v>81</v>
      </c>
      <c r="H30" s="18" t="s">
        <v>117</v>
      </c>
      <c r="I30" s="18" t="s">
        <v>166</v>
      </c>
      <c r="J30" s="18"/>
    </row>
    <row r="31" ht="15.75" customHeight="1">
      <c r="A31" s="23">
        <v>4.0</v>
      </c>
      <c r="B31" s="24">
        <v>46321.0</v>
      </c>
      <c r="C31" s="23" t="s">
        <v>119</v>
      </c>
      <c r="D31" s="25" t="s">
        <v>69</v>
      </c>
      <c r="E31" s="25" t="s">
        <v>169</v>
      </c>
      <c r="F31" s="23">
        <v>32.0</v>
      </c>
      <c r="G31" s="26" t="s">
        <v>121</v>
      </c>
      <c r="H31" s="26" t="s">
        <v>170</v>
      </c>
      <c r="I31" s="26" t="s">
        <v>81</v>
      </c>
      <c r="J31" s="26" t="s">
        <v>123</v>
      </c>
    </row>
    <row r="32" ht="15.75" customHeight="1">
      <c r="A32" s="9">
        <v>4.0</v>
      </c>
      <c r="B32" s="24">
        <v>46322.0</v>
      </c>
      <c r="C32" s="9" t="s">
        <v>124</v>
      </c>
      <c r="D32" s="14" t="s">
        <v>69</v>
      </c>
      <c r="E32" s="14" t="s">
        <v>73</v>
      </c>
      <c r="F32" s="9">
        <v>25.0</v>
      </c>
      <c r="G32" s="13" t="s">
        <v>110</v>
      </c>
      <c r="H32" s="13" t="s">
        <v>171</v>
      </c>
      <c r="I32" s="13" t="s">
        <v>172</v>
      </c>
      <c r="J32" s="13"/>
    </row>
    <row r="33" ht="15.75" customHeight="1">
      <c r="A33" s="23">
        <v>4.0</v>
      </c>
      <c r="B33" s="24">
        <v>46323.0</v>
      </c>
      <c r="C33" s="23" t="s">
        <v>68</v>
      </c>
      <c r="D33" s="25" t="s">
        <v>69</v>
      </c>
      <c r="E33" s="25" t="s">
        <v>137</v>
      </c>
      <c r="F33" s="23">
        <v>30.0</v>
      </c>
      <c r="G33" s="26" t="s">
        <v>138</v>
      </c>
      <c r="H33" s="26" t="s">
        <v>179</v>
      </c>
      <c r="I33" s="26" t="s">
        <v>81</v>
      </c>
      <c r="J33" s="26" t="s">
        <v>140</v>
      </c>
    </row>
    <row r="34" ht="15.75" customHeight="1">
      <c r="A34" s="15">
        <v>4.0</v>
      </c>
      <c r="B34" s="24">
        <v>46324.0</v>
      </c>
      <c r="C34" s="15" t="s">
        <v>95</v>
      </c>
      <c r="D34" s="17" t="s">
        <v>69</v>
      </c>
      <c r="E34" s="17" t="s">
        <v>100</v>
      </c>
      <c r="F34" s="15">
        <v>0.0</v>
      </c>
      <c r="G34" s="18" t="s">
        <v>81</v>
      </c>
      <c r="H34" s="18" t="s">
        <v>107</v>
      </c>
      <c r="I34" s="18" t="s">
        <v>180</v>
      </c>
      <c r="J34" s="18"/>
    </row>
    <row r="35" ht="15.75" customHeight="1">
      <c r="A35" s="9">
        <v>4.0</v>
      </c>
      <c r="B35" s="24">
        <v>46325.0</v>
      </c>
      <c r="C35" s="9" t="s">
        <v>109</v>
      </c>
      <c r="D35" s="14" t="s">
        <v>69</v>
      </c>
      <c r="E35" s="14" t="s">
        <v>73</v>
      </c>
      <c r="F35" s="9">
        <v>25.0</v>
      </c>
      <c r="G35" s="13" t="s">
        <v>110</v>
      </c>
      <c r="H35" s="13" t="s">
        <v>171</v>
      </c>
      <c r="I35" s="13" t="s">
        <v>81</v>
      </c>
      <c r="J35" s="13" t="s">
        <v>134</v>
      </c>
    </row>
    <row r="36" ht="15.75" customHeight="1">
      <c r="A36" s="19">
        <v>4.0</v>
      </c>
      <c r="B36" s="24">
        <v>46326.0</v>
      </c>
      <c r="C36" s="19" t="s">
        <v>112</v>
      </c>
      <c r="D36" s="21" t="s">
        <v>69</v>
      </c>
      <c r="E36" s="21" t="s">
        <v>113</v>
      </c>
      <c r="F36" s="19">
        <v>55.0</v>
      </c>
      <c r="G36" s="22" t="s">
        <v>76</v>
      </c>
      <c r="H36" s="22" t="s">
        <v>114</v>
      </c>
      <c r="I36" s="22" t="s">
        <v>81</v>
      </c>
      <c r="J36" s="22"/>
    </row>
    <row r="37" ht="15.75" customHeight="1">
      <c r="A37" s="15">
        <v>5.0</v>
      </c>
      <c r="B37" s="24">
        <v>46327.0</v>
      </c>
      <c r="C37" s="15" t="s">
        <v>116</v>
      </c>
      <c r="D37" s="17" t="s">
        <v>191</v>
      </c>
      <c r="E37" s="17" t="s">
        <v>100</v>
      </c>
      <c r="F37" s="15">
        <v>0.0</v>
      </c>
      <c r="G37" s="18" t="s">
        <v>81</v>
      </c>
      <c r="H37" s="18" t="s">
        <v>193</v>
      </c>
      <c r="I37" s="18" t="s">
        <v>196</v>
      </c>
      <c r="J37" s="18"/>
    </row>
    <row r="38" ht="15.75" customHeight="1">
      <c r="A38" s="23">
        <v>5.0</v>
      </c>
      <c r="B38" s="24">
        <v>46328.0</v>
      </c>
      <c r="C38" s="23" t="s">
        <v>119</v>
      </c>
      <c r="D38" s="25" t="s">
        <v>191</v>
      </c>
      <c r="E38" s="25" t="s">
        <v>201</v>
      </c>
      <c r="F38" s="23">
        <v>38.0</v>
      </c>
      <c r="G38" s="26" t="s">
        <v>121</v>
      </c>
      <c r="H38" s="26" t="s">
        <v>146</v>
      </c>
      <c r="I38" s="26" t="s">
        <v>81</v>
      </c>
      <c r="J38" s="26" t="s">
        <v>205</v>
      </c>
    </row>
    <row r="39" ht="15.75" customHeight="1">
      <c r="A39" s="15">
        <v>5.0</v>
      </c>
      <c r="B39" s="24">
        <v>46329.0</v>
      </c>
      <c r="C39" s="15" t="s">
        <v>124</v>
      </c>
      <c r="D39" s="17" t="s">
        <v>191</v>
      </c>
      <c r="E39" s="17" t="s">
        <v>100</v>
      </c>
      <c r="F39" s="15">
        <v>0.0</v>
      </c>
      <c r="G39" s="18" t="s">
        <v>81</v>
      </c>
      <c r="H39" s="18" t="s">
        <v>107</v>
      </c>
      <c r="I39" s="18" t="s">
        <v>206</v>
      </c>
      <c r="J39" s="18"/>
    </row>
    <row r="40" ht="15.75" customHeight="1">
      <c r="A40" s="9">
        <v>5.0</v>
      </c>
      <c r="B40" s="24">
        <v>46330.0</v>
      </c>
      <c r="C40" s="9" t="s">
        <v>68</v>
      </c>
      <c r="D40" s="14" t="s">
        <v>191</v>
      </c>
      <c r="E40" s="14" t="s">
        <v>73</v>
      </c>
      <c r="F40" s="9">
        <v>30.0</v>
      </c>
      <c r="G40" s="13" t="s">
        <v>110</v>
      </c>
      <c r="H40" s="13" t="s">
        <v>111</v>
      </c>
      <c r="I40" s="13" t="s">
        <v>81</v>
      </c>
      <c r="J40" s="13"/>
    </row>
    <row r="41" ht="15.75" customHeight="1">
      <c r="A41" s="15">
        <v>5.0</v>
      </c>
      <c r="B41" s="24">
        <v>46331.0</v>
      </c>
      <c r="C41" s="15" t="s">
        <v>95</v>
      </c>
      <c r="D41" s="17" t="s">
        <v>191</v>
      </c>
      <c r="E41" s="17" t="s">
        <v>100</v>
      </c>
      <c r="F41" s="15">
        <v>0.0</v>
      </c>
      <c r="G41" s="18" t="s">
        <v>81</v>
      </c>
      <c r="H41" s="18" t="s">
        <v>107</v>
      </c>
      <c r="I41" s="18" t="s">
        <v>207</v>
      </c>
      <c r="J41" s="18"/>
    </row>
    <row r="42" ht="15.75" customHeight="1">
      <c r="A42" s="9">
        <v>5.0</v>
      </c>
      <c r="B42" s="24">
        <v>46332.0</v>
      </c>
      <c r="C42" s="9" t="s">
        <v>109</v>
      </c>
      <c r="D42" s="14" t="s">
        <v>191</v>
      </c>
      <c r="E42" s="14" t="s">
        <v>208</v>
      </c>
      <c r="F42" s="9">
        <v>30.0</v>
      </c>
      <c r="G42" s="13" t="s">
        <v>76</v>
      </c>
      <c r="H42" s="13" t="s">
        <v>209</v>
      </c>
      <c r="I42" s="13" t="s">
        <v>81</v>
      </c>
      <c r="J42" s="13"/>
    </row>
    <row r="43" ht="15.75" customHeight="1">
      <c r="A43" s="19">
        <v>5.0</v>
      </c>
      <c r="B43" s="24">
        <v>46333.0</v>
      </c>
      <c r="C43" s="19" t="s">
        <v>112</v>
      </c>
      <c r="D43" s="21" t="s">
        <v>191</v>
      </c>
      <c r="E43" s="21" t="s">
        <v>113</v>
      </c>
      <c r="F43" s="19">
        <v>60.0</v>
      </c>
      <c r="G43" s="22" t="s">
        <v>76</v>
      </c>
      <c r="H43" s="22" t="s">
        <v>135</v>
      </c>
      <c r="I43" s="22" t="s">
        <v>81</v>
      </c>
      <c r="J43" s="22" t="s">
        <v>210</v>
      </c>
    </row>
    <row r="44" ht="15.75" customHeight="1">
      <c r="A44" s="15">
        <v>6.0</v>
      </c>
      <c r="B44" s="24">
        <v>46334.0</v>
      </c>
      <c r="C44" s="15" t="s">
        <v>116</v>
      </c>
      <c r="D44" s="17" t="s">
        <v>191</v>
      </c>
      <c r="E44" s="17" t="s">
        <v>100</v>
      </c>
      <c r="F44" s="15">
        <v>0.0</v>
      </c>
      <c r="G44" s="18" t="s">
        <v>81</v>
      </c>
      <c r="H44" s="18" t="s">
        <v>193</v>
      </c>
      <c r="I44" s="18" t="s">
        <v>196</v>
      </c>
      <c r="J44" s="18"/>
    </row>
    <row r="45" ht="15.75" customHeight="1">
      <c r="A45" s="23">
        <v>6.0</v>
      </c>
      <c r="B45" s="24">
        <v>46335.0</v>
      </c>
      <c r="C45" s="23" t="s">
        <v>119</v>
      </c>
      <c r="D45" s="25" t="s">
        <v>191</v>
      </c>
      <c r="E45" s="25" t="s">
        <v>211</v>
      </c>
      <c r="F45" s="23">
        <v>30.0</v>
      </c>
      <c r="G45" s="26" t="s">
        <v>138</v>
      </c>
      <c r="H45" s="26" t="s">
        <v>212</v>
      </c>
      <c r="I45" s="26" t="s">
        <v>81</v>
      </c>
      <c r="J45" s="26" t="s">
        <v>213</v>
      </c>
    </row>
    <row r="46" ht="15.75" customHeight="1">
      <c r="A46" s="15">
        <v>6.0</v>
      </c>
      <c r="B46" s="24">
        <v>46336.0</v>
      </c>
      <c r="C46" s="15" t="s">
        <v>124</v>
      </c>
      <c r="D46" s="17" t="s">
        <v>191</v>
      </c>
      <c r="E46" s="17" t="s">
        <v>100</v>
      </c>
      <c r="F46" s="15">
        <v>0.0</v>
      </c>
      <c r="G46" s="18" t="s">
        <v>81</v>
      </c>
      <c r="H46" s="18" t="s">
        <v>107</v>
      </c>
      <c r="I46" s="18" t="s">
        <v>206</v>
      </c>
      <c r="J46" s="18"/>
    </row>
    <row r="47" ht="15.75" customHeight="1">
      <c r="A47" s="9">
        <v>6.0</v>
      </c>
      <c r="B47" s="24">
        <v>46337.0</v>
      </c>
      <c r="C47" s="9" t="s">
        <v>68</v>
      </c>
      <c r="D47" s="14" t="s">
        <v>191</v>
      </c>
      <c r="E47" s="14" t="s">
        <v>73</v>
      </c>
      <c r="F47" s="9">
        <v>30.0</v>
      </c>
      <c r="G47" s="13" t="s">
        <v>110</v>
      </c>
      <c r="H47" s="13" t="s">
        <v>111</v>
      </c>
      <c r="I47" s="13" t="s">
        <v>81</v>
      </c>
      <c r="J47" s="13"/>
    </row>
    <row r="48" ht="15.75" customHeight="1">
      <c r="A48" s="15">
        <v>6.0</v>
      </c>
      <c r="B48" s="24">
        <v>46338.0</v>
      </c>
      <c r="C48" s="15" t="s">
        <v>95</v>
      </c>
      <c r="D48" s="17" t="s">
        <v>191</v>
      </c>
      <c r="E48" s="17" t="s">
        <v>100</v>
      </c>
      <c r="F48" s="15">
        <v>0.0</v>
      </c>
      <c r="G48" s="18" t="s">
        <v>81</v>
      </c>
      <c r="H48" s="18" t="s">
        <v>107</v>
      </c>
      <c r="I48" s="18" t="s">
        <v>207</v>
      </c>
      <c r="J48" s="18"/>
    </row>
    <row r="49" ht="15.75" customHeight="1">
      <c r="A49" s="9">
        <v>6.0</v>
      </c>
      <c r="B49" s="24">
        <v>46339.0</v>
      </c>
      <c r="C49" s="9" t="s">
        <v>109</v>
      </c>
      <c r="D49" s="14" t="s">
        <v>191</v>
      </c>
      <c r="E49" s="14" t="s">
        <v>208</v>
      </c>
      <c r="F49" s="9">
        <v>30.0</v>
      </c>
      <c r="G49" s="13" t="s">
        <v>76</v>
      </c>
      <c r="H49" s="13" t="s">
        <v>209</v>
      </c>
      <c r="I49" s="13" t="s">
        <v>81</v>
      </c>
      <c r="J49" s="13"/>
    </row>
    <row r="50" ht="15.75" customHeight="1">
      <c r="A50" s="19">
        <v>6.0</v>
      </c>
      <c r="B50" s="24">
        <v>46340.0</v>
      </c>
      <c r="C50" s="19" t="s">
        <v>112</v>
      </c>
      <c r="D50" s="21" t="s">
        <v>191</v>
      </c>
      <c r="E50" s="21" t="s">
        <v>113</v>
      </c>
      <c r="F50" s="19">
        <v>60.0</v>
      </c>
      <c r="G50" s="22" t="s">
        <v>76</v>
      </c>
      <c r="H50" s="22" t="s">
        <v>135</v>
      </c>
      <c r="I50" s="22" t="s">
        <v>81</v>
      </c>
      <c r="J50" s="22" t="s">
        <v>210</v>
      </c>
    </row>
    <row r="51" ht="15.75" customHeight="1">
      <c r="A51" s="15">
        <v>7.0</v>
      </c>
      <c r="B51" s="24">
        <v>46341.0</v>
      </c>
      <c r="C51" s="15" t="s">
        <v>116</v>
      </c>
      <c r="D51" s="17" t="s">
        <v>191</v>
      </c>
      <c r="E51" s="17" t="s">
        <v>100</v>
      </c>
      <c r="F51" s="15">
        <v>0.0</v>
      </c>
      <c r="G51" s="18" t="s">
        <v>81</v>
      </c>
      <c r="H51" s="18" t="s">
        <v>193</v>
      </c>
      <c r="I51" s="18" t="s">
        <v>196</v>
      </c>
      <c r="J51" s="18"/>
    </row>
    <row r="52" ht="15.75" customHeight="1">
      <c r="A52" s="23">
        <v>7.0</v>
      </c>
      <c r="B52" s="24">
        <v>46342.0</v>
      </c>
      <c r="C52" s="23" t="s">
        <v>119</v>
      </c>
      <c r="D52" s="25" t="s">
        <v>191</v>
      </c>
      <c r="E52" s="25" t="s">
        <v>201</v>
      </c>
      <c r="F52" s="23">
        <v>36.0</v>
      </c>
      <c r="G52" s="26" t="s">
        <v>121</v>
      </c>
      <c r="H52" s="26" t="s">
        <v>215</v>
      </c>
      <c r="I52" s="26" t="s">
        <v>81</v>
      </c>
      <c r="J52" s="26" t="s">
        <v>205</v>
      </c>
    </row>
    <row r="53" ht="15.75" customHeight="1">
      <c r="A53" s="15">
        <v>7.0</v>
      </c>
      <c r="B53" s="24">
        <v>46343.0</v>
      </c>
      <c r="C53" s="15" t="s">
        <v>124</v>
      </c>
      <c r="D53" s="17" t="s">
        <v>191</v>
      </c>
      <c r="E53" s="17" t="s">
        <v>100</v>
      </c>
      <c r="F53" s="15">
        <v>0.0</v>
      </c>
      <c r="G53" s="18" t="s">
        <v>81</v>
      </c>
      <c r="H53" s="18" t="s">
        <v>107</v>
      </c>
      <c r="I53" s="18" t="s">
        <v>206</v>
      </c>
      <c r="J53" s="18"/>
    </row>
    <row r="54" ht="15.75" customHeight="1">
      <c r="A54" s="9">
        <v>7.0</v>
      </c>
      <c r="B54" s="24">
        <v>46344.0</v>
      </c>
      <c r="C54" s="9" t="s">
        <v>68</v>
      </c>
      <c r="D54" s="14" t="s">
        <v>191</v>
      </c>
      <c r="E54" s="14" t="s">
        <v>73</v>
      </c>
      <c r="F54" s="9">
        <v>30.0</v>
      </c>
      <c r="G54" s="13" t="s">
        <v>110</v>
      </c>
      <c r="H54" s="13" t="s">
        <v>111</v>
      </c>
      <c r="I54" s="13" t="s">
        <v>81</v>
      </c>
      <c r="J54" s="13"/>
    </row>
    <row r="55" ht="15.75" customHeight="1">
      <c r="A55" s="15">
        <v>7.0</v>
      </c>
      <c r="B55" s="24">
        <v>46345.0</v>
      </c>
      <c r="C55" s="15" t="s">
        <v>95</v>
      </c>
      <c r="D55" s="17" t="s">
        <v>191</v>
      </c>
      <c r="E55" s="17" t="s">
        <v>100</v>
      </c>
      <c r="F55" s="15">
        <v>0.0</v>
      </c>
      <c r="G55" s="18" t="s">
        <v>81</v>
      </c>
      <c r="H55" s="18" t="s">
        <v>107</v>
      </c>
      <c r="I55" s="18" t="s">
        <v>207</v>
      </c>
      <c r="J55" s="18"/>
    </row>
    <row r="56" ht="15.75" customHeight="1">
      <c r="A56" s="9">
        <v>7.0</v>
      </c>
      <c r="B56" s="24">
        <v>46346.0</v>
      </c>
      <c r="C56" s="9" t="s">
        <v>109</v>
      </c>
      <c r="D56" s="14" t="s">
        <v>191</v>
      </c>
      <c r="E56" s="14" t="s">
        <v>208</v>
      </c>
      <c r="F56" s="9">
        <v>30.0</v>
      </c>
      <c r="G56" s="13" t="s">
        <v>76</v>
      </c>
      <c r="H56" s="13" t="s">
        <v>209</v>
      </c>
      <c r="I56" s="13" t="s">
        <v>81</v>
      </c>
      <c r="J56" s="13"/>
    </row>
    <row r="57" ht="15.75" customHeight="1">
      <c r="A57" s="19">
        <v>7.0</v>
      </c>
      <c r="B57" s="24">
        <v>46347.0</v>
      </c>
      <c r="C57" s="19" t="s">
        <v>112</v>
      </c>
      <c r="D57" s="21" t="s">
        <v>191</v>
      </c>
      <c r="E57" s="21" t="s">
        <v>113</v>
      </c>
      <c r="F57" s="19">
        <v>65.0</v>
      </c>
      <c r="G57" s="22" t="s">
        <v>76</v>
      </c>
      <c r="H57" s="22" t="s">
        <v>161</v>
      </c>
      <c r="I57" s="22" t="s">
        <v>81</v>
      </c>
      <c r="J57" s="22" t="s">
        <v>210</v>
      </c>
    </row>
    <row r="58" ht="15.75" customHeight="1">
      <c r="A58" s="15">
        <v>8.0</v>
      </c>
      <c r="B58" s="24">
        <v>46348.0</v>
      </c>
      <c r="C58" s="15" t="s">
        <v>116</v>
      </c>
      <c r="D58" s="17" t="s">
        <v>191</v>
      </c>
      <c r="E58" s="17" t="s">
        <v>100</v>
      </c>
      <c r="F58" s="15">
        <v>0.0</v>
      </c>
      <c r="G58" s="18" t="s">
        <v>81</v>
      </c>
      <c r="H58" s="18" t="s">
        <v>193</v>
      </c>
      <c r="I58" s="18" t="s">
        <v>216</v>
      </c>
      <c r="J58" s="18"/>
    </row>
    <row r="59" ht="15.75" customHeight="1">
      <c r="A59" s="9">
        <v>8.0</v>
      </c>
      <c r="B59" s="24">
        <v>46349.0</v>
      </c>
      <c r="C59" s="9" t="s">
        <v>119</v>
      </c>
      <c r="D59" s="14" t="s">
        <v>191</v>
      </c>
      <c r="E59" s="14" t="s">
        <v>73</v>
      </c>
      <c r="F59" s="9">
        <v>30.0</v>
      </c>
      <c r="G59" s="13" t="s">
        <v>110</v>
      </c>
      <c r="H59" s="13" t="s">
        <v>111</v>
      </c>
      <c r="I59" s="13" t="s">
        <v>81</v>
      </c>
      <c r="J59" s="13" t="s">
        <v>217</v>
      </c>
    </row>
    <row r="60" ht="15.75" customHeight="1">
      <c r="A60" s="15">
        <v>8.0</v>
      </c>
      <c r="B60" s="24">
        <v>46350.0</v>
      </c>
      <c r="C60" s="15" t="s">
        <v>124</v>
      </c>
      <c r="D60" s="17" t="s">
        <v>191</v>
      </c>
      <c r="E60" s="17" t="s">
        <v>100</v>
      </c>
      <c r="F60" s="15">
        <v>0.0</v>
      </c>
      <c r="G60" s="18" t="s">
        <v>81</v>
      </c>
      <c r="H60" s="18" t="s">
        <v>107</v>
      </c>
      <c r="I60" s="18" t="s">
        <v>218</v>
      </c>
      <c r="J60" s="18"/>
    </row>
    <row r="61" ht="15.75" customHeight="1">
      <c r="A61" s="15">
        <v>8.0</v>
      </c>
      <c r="B61" s="24">
        <v>46351.0</v>
      </c>
      <c r="C61" s="15" t="s">
        <v>68</v>
      </c>
      <c r="D61" s="17" t="s">
        <v>191</v>
      </c>
      <c r="E61" s="17" t="s">
        <v>219</v>
      </c>
      <c r="F61" s="15">
        <v>0.0</v>
      </c>
      <c r="G61" s="18" t="s">
        <v>81</v>
      </c>
      <c r="H61" s="18" t="s">
        <v>220</v>
      </c>
      <c r="I61" s="18" t="s">
        <v>81</v>
      </c>
      <c r="J61" s="18"/>
    </row>
    <row r="62" ht="15.75" customHeight="1">
      <c r="A62" s="15">
        <v>8.0</v>
      </c>
      <c r="B62" s="24">
        <v>46352.0</v>
      </c>
      <c r="C62" s="15" t="s">
        <v>95</v>
      </c>
      <c r="D62" s="17" t="s">
        <v>191</v>
      </c>
      <c r="E62" s="17" t="s">
        <v>100</v>
      </c>
      <c r="F62" s="15">
        <v>0.0</v>
      </c>
      <c r="G62" s="18" t="s">
        <v>81</v>
      </c>
      <c r="H62" s="18" t="s">
        <v>107</v>
      </c>
      <c r="I62" s="18" t="s">
        <v>221</v>
      </c>
      <c r="J62" s="18"/>
    </row>
    <row r="63" ht="15.75" customHeight="1">
      <c r="A63" s="9">
        <v>8.0</v>
      </c>
      <c r="B63" s="24">
        <v>46353.0</v>
      </c>
      <c r="C63" s="9" t="s">
        <v>109</v>
      </c>
      <c r="D63" s="14" t="s">
        <v>191</v>
      </c>
      <c r="E63" s="14" t="s">
        <v>208</v>
      </c>
      <c r="F63" s="9">
        <v>25.0</v>
      </c>
      <c r="G63" s="13" t="s">
        <v>76</v>
      </c>
      <c r="H63" s="13" t="s">
        <v>222</v>
      </c>
      <c r="I63" s="13" t="s">
        <v>81</v>
      </c>
      <c r="J63" s="13"/>
    </row>
    <row r="64" ht="15.75" customHeight="1">
      <c r="A64" s="19">
        <v>8.0</v>
      </c>
      <c r="B64" s="24">
        <v>46354.0</v>
      </c>
      <c r="C64" s="19" t="s">
        <v>112</v>
      </c>
      <c r="D64" s="21" t="s">
        <v>191</v>
      </c>
      <c r="E64" s="21" t="s">
        <v>113</v>
      </c>
      <c r="F64" s="19">
        <v>50.0</v>
      </c>
      <c r="G64" s="22" t="s">
        <v>76</v>
      </c>
      <c r="H64" s="22" t="s">
        <v>224</v>
      </c>
      <c r="I64" s="22" t="s">
        <v>81</v>
      </c>
      <c r="J64" s="22" t="s">
        <v>210</v>
      </c>
    </row>
    <row r="65" ht="15.75" customHeight="1">
      <c r="A65" s="15">
        <v>9.0</v>
      </c>
      <c r="B65" s="24">
        <v>46355.0</v>
      </c>
      <c r="C65" s="15" t="s">
        <v>116</v>
      </c>
      <c r="D65" s="17" t="s">
        <v>191</v>
      </c>
      <c r="E65" s="17" t="s">
        <v>100</v>
      </c>
      <c r="F65" s="15">
        <v>0.0</v>
      </c>
      <c r="G65" s="18" t="s">
        <v>81</v>
      </c>
      <c r="H65" s="18" t="s">
        <v>193</v>
      </c>
      <c r="I65" s="18" t="s">
        <v>196</v>
      </c>
      <c r="J65" s="18"/>
    </row>
    <row r="66" ht="15.75" customHeight="1">
      <c r="A66" s="23">
        <v>9.0</v>
      </c>
      <c r="B66" s="24">
        <v>46356.0</v>
      </c>
      <c r="C66" s="23" t="s">
        <v>119</v>
      </c>
      <c r="D66" s="25" t="s">
        <v>191</v>
      </c>
      <c r="E66" s="25" t="s">
        <v>201</v>
      </c>
      <c r="F66" s="23">
        <v>38.0</v>
      </c>
      <c r="G66" s="26" t="s">
        <v>121</v>
      </c>
      <c r="H66" s="26" t="s">
        <v>146</v>
      </c>
      <c r="I66" s="26" t="s">
        <v>81</v>
      </c>
      <c r="J66" s="26" t="s">
        <v>205</v>
      </c>
    </row>
    <row r="67" ht="15.75" customHeight="1">
      <c r="A67" s="15">
        <v>9.0</v>
      </c>
      <c r="B67" s="24">
        <v>46357.0</v>
      </c>
      <c r="C67" s="15" t="s">
        <v>124</v>
      </c>
      <c r="D67" s="17" t="s">
        <v>191</v>
      </c>
      <c r="E67" s="17" t="s">
        <v>100</v>
      </c>
      <c r="F67" s="15">
        <v>0.0</v>
      </c>
      <c r="G67" s="18" t="s">
        <v>81</v>
      </c>
      <c r="H67" s="18" t="s">
        <v>107</v>
      </c>
      <c r="I67" s="18" t="s">
        <v>206</v>
      </c>
      <c r="J67" s="18"/>
    </row>
    <row r="68" ht="15.75" customHeight="1">
      <c r="A68" s="9">
        <v>9.0</v>
      </c>
      <c r="B68" s="24">
        <v>46358.0</v>
      </c>
      <c r="C68" s="9" t="s">
        <v>68</v>
      </c>
      <c r="D68" s="14" t="s">
        <v>191</v>
      </c>
      <c r="E68" s="14" t="s">
        <v>73</v>
      </c>
      <c r="F68" s="9">
        <v>30.0</v>
      </c>
      <c r="G68" s="13" t="s">
        <v>110</v>
      </c>
      <c r="H68" s="13" t="s">
        <v>111</v>
      </c>
      <c r="I68" s="13" t="s">
        <v>81</v>
      </c>
      <c r="J68" s="13"/>
    </row>
    <row r="69" ht="15.75" customHeight="1">
      <c r="A69" s="15">
        <v>9.0</v>
      </c>
      <c r="B69" s="24">
        <v>46359.0</v>
      </c>
      <c r="C69" s="15" t="s">
        <v>95</v>
      </c>
      <c r="D69" s="17" t="s">
        <v>191</v>
      </c>
      <c r="E69" s="17" t="s">
        <v>100</v>
      </c>
      <c r="F69" s="15">
        <v>0.0</v>
      </c>
      <c r="G69" s="18" t="s">
        <v>81</v>
      </c>
      <c r="H69" s="18" t="s">
        <v>107</v>
      </c>
      <c r="I69" s="18" t="s">
        <v>207</v>
      </c>
      <c r="J69" s="18"/>
    </row>
    <row r="70" ht="15.75" customHeight="1">
      <c r="A70" s="9">
        <v>9.0</v>
      </c>
      <c r="B70" s="24">
        <v>46360.0</v>
      </c>
      <c r="C70" s="9" t="s">
        <v>109</v>
      </c>
      <c r="D70" s="14" t="s">
        <v>191</v>
      </c>
      <c r="E70" s="14" t="s">
        <v>208</v>
      </c>
      <c r="F70" s="9">
        <v>30.0</v>
      </c>
      <c r="G70" s="13" t="s">
        <v>76</v>
      </c>
      <c r="H70" s="13" t="s">
        <v>209</v>
      </c>
      <c r="I70" s="13" t="s">
        <v>81</v>
      </c>
      <c r="J70" s="13"/>
    </row>
    <row r="71" ht="15.75" customHeight="1">
      <c r="A71" s="19">
        <v>9.0</v>
      </c>
      <c r="B71" s="24">
        <v>46361.0</v>
      </c>
      <c r="C71" s="19" t="s">
        <v>112</v>
      </c>
      <c r="D71" s="21" t="s">
        <v>191</v>
      </c>
      <c r="E71" s="21" t="s">
        <v>113</v>
      </c>
      <c r="F71" s="19">
        <v>60.0</v>
      </c>
      <c r="G71" s="22" t="s">
        <v>76</v>
      </c>
      <c r="H71" s="22" t="s">
        <v>135</v>
      </c>
      <c r="I71" s="22" t="s">
        <v>81</v>
      </c>
      <c r="J71" s="22" t="s">
        <v>210</v>
      </c>
    </row>
    <row r="72" ht="15.75" customHeight="1">
      <c r="A72" s="15">
        <v>10.0</v>
      </c>
      <c r="B72" s="24">
        <v>46362.0</v>
      </c>
      <c r="C72" s="15" t="s">
        <v>116</v>
      </c>
      <c r="D72" s="17" t="s">
        <v>191</v>
      </c>
      <c r="E72" s="17" t="s">
        <v>100</v>
      </c>
      <c r="F72" s="15">
        <v>0.0</v>
      </c>
      <c r="G72" s="18" t="s">
        <v>81</v>
      </c>
      <c r="H72" s="18" t="s">
        <v>193</v>
      </c>
      <c r="I72" s="18" t="s">
        <v>196</v>
      </c>
      <c r="J72" s="18"/>
    </row>
    <row r="73" ht="15.75" customHeight="1">
      <c r="A73" s="23">
        <v>10.0</v>
      </c>
      <c r="B73" s="24">
        <v>46363.0</v>
      </c>
      <c r="C73" s="23" t="s">
        <v>119</v>
      </c>
      <c r="D73" s="25" t="s">
        <v>191</v>
      </c>
      <c r="E73" s="25" t="s">
        <v>211</v>
      </c>
      <c r="F73" s="23">
        <v>30.0</v>
      </c>
      <c r="G73" s="26" t="s">
        <v>138</v>
      </c>
      <c r="H73" s="26" t="s">
        <v>212</v>
      </c>
      <c r="I73" s="26" t="s">
        <v>81</v>
      </c>
      <c r="J73" s="26" t="s">
        <v>213</v>
      </c>
    </row>
    <row r="74" ht="15.75" customHeight="1">
      <c r="A74" s="15">
        <v>10.0</v>
      </c>
      <c r="B74" s="24">
        <v>46364.0</v>
      </c>
      <c r="C74" s="15" t="s">
        <v>124</v>
      </c>
      <c r="D74" s="17" t="s">
        <v>191</v>
      </c>
      <c r="E74" s="17" t="s">
        <v>100</v>
      </c>
      <c r="F74" s="15">
        <v>0.0</v>
      </c>
      <c r="G74" s="18" t="s">
        <v>81</v>
      </c>
      <c r="H74" s="18" t="s">
        <v>107</v>
      </c>
      <c r="I74" s="18" t="s">
        <v>206</v>
      </c>
      <c r="J74" s="18"/>
    </row>
    <row r="75" ht="15.75" customHeight="1">
      <c r="A75" s="9">
        <v>10.0</v>
      </c>
      <c r="B75" s="24">
        <v>46365.0</v>
      </c>
      <c r="C75" s="9" t="s">
        <v>68</v>
      </c>
      <c r="D75" s="14" t="s">
        <v>191</v>
      </c>
      <c r="E75" s="14" t="s">
        <v>73</v>
      </c>
      <c r="F75" s="9">
        <v>30.0</v>
      </c>
      <c r="G75" s="13" t="s">
        <v>110</v>
      </c>
      <c r="H75" s="13" t="s">
        <v>111</v>
      </c>
      <c r="I75" s="13" t="s">
        <v>81</v>
      </c>
      <c r="J75" s="13"/>
    </row>
    <row r="76" ht="15.75" customHeight="1">
      <c r="A76" s="15">
        <v>10.0</v>
      </c>
      <c r="B76" s="24">
        <v>46366.0</v>
      </c>
      <c r="C76" s="15" t="s">
        <v>95</v>
      </c>
      <c r="D76" s="17" t="s">
        <v>191</v>
      </c>
      <c r="E76" s="17" t="s">
        <v>100</v>
      </c>
      <c r="F76" s="15">
        <v>0.0</v>
      </c>
      <c r="G76" s="18" t="s">
        <v>81</v>
      </c>
      <c r="H76" s="18" t="s">
        <v>107</v>
      </c>
      <c r="I76" s="18" t="s">
        <v>207</v>
      </c>
      <c r="J76" s="18"/>
    </row>
    <row r="77" ht="15.75" customHeight="1">
      <c r="A77" s="9">
        <v>10.0</v>
      </c>
      <c r="B77" s="24">
        <v>46367.0</v>
      </c>
      <c r="C77" s="9" t="s">
        <v>109</v>
      </c>
      <c r="D77" s="14" t="s">
        <v>191</v>
      </c>
      <c r="E77" s="14" t="s">
        <v>208</v>
      </c>
      <c r="F77" s="9">
        <v>30.0</v>
      </c>
      <c r="G77" s="13" t="s">
        <v>76</v>
      </c>
      <c r="H77" s="13" t="s">
        <v>209</v>
      </c>
      <c r="I77" s="13" t="s">
        <v>81</v>
      </c>
      <c r="J77" s="13"/>
    </row>
    <row r="78" ht="15.75" customHeight="1">
      <c r="A78" s="19">
        <v>10.0</v>
      </c>
      <c r="B78" s="24">
        <v>46368.0</v>
      </c>
      <c r="C78" s="19" t="s">
        <v>112</v>
      </c>
      <c r="D78" s="21" t="s">
        <v>191</v>
      </c>
      <c r="E78" s="21" t="s">
        <v>113</v>
      </c>
      <c r="F78" s="19">
        <v>65.0</v>
      </c>
      <c r="G78" s="22" t="s">
        <v>76</v>
      </c>
      <c r="H78" s="22" t="s">
        <v>161</v>
      </c>
      <c r="I78" s="22" t="s">
        <v>81</v>
      </c>
      <c r="J78" s="22" t="s">
        <v>210</v>
      </c>
    </row>
    <row r="79" ht="15.75" customHeight="1">
      <c r="A79" s="15">
        <v>11.0</v>
      </c>
      <c r="B79" s="24">
        <v>46369.0</v>
      </c>
      <c r="C79" s="15" t="s">
        <v>116</v>
      </c>
      <c r="D79" s="17" t="s">
        <v>191</v>
      </c>
      <c r="E79" s="17" t="s">
        <v>100</v>
      </c>
      <c r="F79" s="15">
        <v>0.0</v>
      </c>
      <c r="G79" s="18" t="s">
        <v>81</v>
      </c>
      <c r="H79" s="18" t="s">
        <v>193</v>
      </c>
      <c r="I79" s="18" t="s">
        <v>196</v>
      </c>
      <c r="J79" s="18"/>
    </row>
    <row r="80" ht="15.75" customHeight="1">
      <c r="A80" s="23">
        <v>11.0</v>
      </c>
      <c r="B80" s="24">
        <v>46370.0</v>
      </c>
      <c r="C80" s="23" t="s">
        <v>119</v>
      </c>
      <c r="D80" s="25" t="s">
        <v>191</v>
      </c>
      <c r="E80" s="25" t="s">
        <v>201</v>
      </c>
      <c r="F80" s="23">
        <v>36.0</v>
      </c>
      <c r="G80" s="26" t="s">
        <v>121</v>
      </c>
      <c r="H80" s="26" t="s">
        <v>215</v>
      </c>
      <c r="I80" s="26" t="s">
        <v>81</v>
      </c>
      <c r="J80" s="26" t="s">
        <v>205</v>
      </c>
    </row>
    <row r="81" ht="15.75" customHeight="1">
      <c r="A81" s="15">
        <v>11.0</v>
      </c>
      <c r="B81" s="24">
        <v>46371.0</v>
      </c>
      <c r="C81" s="15" t="s">
        <v>124</v>
      </c>
      <c r="D81" s="17" t="s">
        <v>191</v>
      </c>
      <c r="E81" s="17" t="s">
        <v>100</v>
      </c>
      <c r="F81" s="15">
        <v>0.0</v>
      </c>
      <c r="G81" s="18" t="s">
        <v>81</v>
      </c>
      <c r="H81" s="18" t="s">
        <v>107</v>
      </c>
      <c r="I81" s="18" t="s">
        <v>206</v>
      </c>
      <c r="J81" s="18"/>
    </row>
    <row r="82" ht="15.75" customHeight="1">
      <c r="A82" s="9">
        <v>11.0</v>
      </c>
      <c r="B82" s="24">
        <v>46372.0</v>
      </c>
      <c r="C82" s="9" t="s">
        <v>68</v>
      </c>
      <c r="D82" s="14" t="s">
        <v>191</v>
      </c>
      <c r="E82" s="14" t="s">
        <v>73</v>
      </c>
      <c r="F82" s="9">
        <v>30.0</v>
      </c>
      <c r="G82" s="13" t="s">
        <v>110</v>
      </c>
      <c r="H82" s="13" t="s">
        <v>111</v>
      </c>
      <c r="I82" s="13" t="s">
        <v>81</v>
      </c>
      <c r="J82" s="13"/>
    </row>
    <row r="83" ht="15.75" customHeight="1">
      <c r="A83" s="15">
        <v>11.0</v>
      </c>
      <c r="B83" s="24">
        <v>46373.0</v>
      </c>
      <c r="C83" s="15" t="s">
        <v>95</v>
      </c>
      <c r="D83" s="17" t="s">
        <v>191</v>
      </c>
      <c r="E83" s="17" t="s">
        <v>100</v>
      </c>
      <c r="F83" s="15">
        <v>0.0</v>
      </c>
      <c r="G83" s="18" t="s">
        <v>81</v>
      </c>
      <c r="H83" s="18" t="s">
        <v>107</v>
      </c>
      <c r="I83" s="18" t="s">
        <v>207</v>
      </c>
      <c r="J83" s="18"/>
    </row>
    <row r="84" ht="15.75" customHeight="1">
      <c r="A84" s="9">
        <v>11.0</v>
      </c>
      <c r="B84" s="24">
        <v>46374.0</v>
      </c>
      <c r="C84" s="9" t="s">
        <v>109</v>
      </c>
      <c r="D84" s="14" t="s">
        <v>191</v>
      </c>
      <c r="E84" s="14" t="s">
        <v>208</v>
      </c>
      <c r="F84" s="9">
        <v>30.0</v>
      </c>
      <c r="G84" s="13" t="s">
        <v>76</v>
      </c>
      <c r="H84" s="13" t="s">
        <v>209</v>
      </c>
      <c r="I84" s="13" t="s">
        <v>81</v>
      </c>
      <c r="J84" s="13"/>
    </row>
    <row r="85" ht="15.75" customHeight="1">
      <c r="A85" s="19">
        <v>11.0</v>
      </c>
      <c r="B85" s="24">
        <v>46375.0</v>
      </c>
      <c r="C85" s="19" t="s">
        <v>112</v>
      </c>
      <c r="D85" s="21" t="s">
        <v>191</v>
      </c>
      <c r="E85" s="21" t="s">
        <v>113</v>
      </c>
      <c r="F85" s="19">
        <v>65.0</v>
      </c>
      <c r="G85" s="22" t="s">
        <v>76</v>
      </c>
      <c r="H85" s="22" t="s">
        <v>161</v>
      </c>
      <c r="I85" s="22" t="s">
        <v>81</v>
      </c>
      <c r="J85" s="22" t="s">
        <v>210</v>
      </c>
    </row>
    <row r="86" ht="15.75" customHeight="1">
      <c r="A86" s="15">
        <v>12.0</v>
      </c>
      <c r="B86" s="24">
        <v>46376.0</v>
      </c>
      <c r="C86" s="15" t="s">
        <v>116</v>
      </c>
      <c r="D86" s="17" t="s">
        <v>191</v>
      </c>
      <c r="E86" s="17" t="s">
        <v>100</v>
      </c>
      <c r="F86" s="15">
        <v>0.0</v>
      </c>
      <c r="G86" s="18" t="s">
        <v>81</v>
      </c>
      <c r="H86" s="18" t="s">
        <v>193</v>
      </c>
      <c r="I86" s="18" t="s">
        <v>216</v>
      </c>
      <c r="J86" s="18"/>
    </row>
    <row r="87" ht="15.75" customHeight="1">
      <c r="A87" s="9">
        <v>12.0</v>
      </c>
      <c r="B87" s="24">
        <v>46377.0</v>
      </c>
      <c r="C87" s="9" t="s">
        <v>119</v>
      </c>
      <c r="D87" s="14" t="s">
        <v>191</v>
      </c>
      <c r="E87" s="14" t="s">
        <v>73</v>
      </c>
      <c r="F87" s="9">
        <v>30.0</v>
      </c>
      <c r="G87" s="13" t="s">
        <v>110</v>
      </c>
      <c r="H87" s="13" t="s">
        <v>111</v>
      </c>
      <c r="I87" s="13" t="s">
        <v>81</v>
      </c>
      <c r="J87" s="13" t="s">
        <v>217</v>
      </c>
    </row>
    <row r="88" ht="15.75" customHeight="1">
      <c r="A88" s="15">
        <v>12.0</v>
      </c>
      <c r="B88" s="24">
        <v>46378.0</v>
      </c>
      <c r="C88" s="15" t="s">
        <v>124</v>
      </c>
      <c r="D88" s="17" t="s">
        <v>191</v>
      </c>
      <c r="E88" s="17" t="s">
        <v>100</v>
      </c>
      <c r="F88" s="15">
        <v>0.0</v>
      </c>
      <c r="G88" s="18" t="s">
        <v>81</v>
      </c>
      <c r="H88" s="18" t="s">
        <v>107</v>
      </c>
      <c r="I88" s="18" t="s">
        <v>218</v>
      </c>
      <c r="J88" s="18"/>
    </row>
    <row r="89" ht="15.75" customHeight="1">
      <c r="A89" s="9">
        <v>12.0</v>
      </c>
      <c r="B89" s="24">
        <v>46379.0</v>
      </c>
      <c r="C89" s="9" t="s">
        <v>68</v>
      </c>
      <c r="D89" s="14" t="s">
        <v>191</v>
      </c>
      <c r="E89" s="14" t="s">
        <v>208</v>
      </c>
      <c r="F89" s="9">
        <v>25.0</v>
      </c>
      <c r="G89" s="13" t="s">
        <v>76</v>
      </c>
      <c r="H89" s="13" t="s">
        <v>222</v>
      </c>
      <c r="I89" s="13" t="s">
        <v>81</v>
      </c>
      <c r="J89" s="13"/>
    </row>
    <row r="90" ht="15.75" customHeight="1">
      <c r="A90" s="15">
        <v>12.0</v>
      </c>
      <c r="B90" s="24">
        <v>46380.0</v>
      </c>
      <c r="C90" s="15" t="s">
        <v>95</v>
      </c>
      <c r="D90" s="17" t="s">
        <v>191</v>
      </c>
      <c r="E90" s="17" t="s">
        <v>229</v>
      </c>
      <c r="F90" s="15">
        <v>0.0</v>
      </c>
      <c r="G90" s="18" t="s">
        <v>81</v>
      </c>
      <c r="H90" s="18" t="s">
        <v>231</v>
      </c>
      <c r="I90" s="18" t="s">
        <v>81</v>
      </c>
      <c r="J90" s="18"/>
    </row>
    <row r="91" ht="15.75" customHeight="1">
      <c r="A91" s="9">
        <v>12.0</v>
      </c>
      <c r="B91" s="24">
        <v>46381.0</v>
      </c>
      <c r="C91" s="9" t="s">
        <v>109</v>
      </c>
      <c r="D91" s="14" t="s">
        <v>191</v>
      </c>
      <c r="E91" s="14" t="s">
        <v>208</v>
      </c>
      <c r="F91" s="9">
        <v>25.0</v>
      </c>
      <c r="G91" s="13" t="s">
        <v>76</v>
      </c>
      <c r="H91" s="13" t="s">
        <v>222</v>
      </c>
      <c r="I91" s="13" t="s">
        <v>81</v>
      </c>
      <c r="J91" s="13"/>
    </row>
    <row r="92" ht="15.75" customHeight="1">
      <c r="A92" s="19">
        <v>12.0</v>
      </c>
      <c r="B92" s="24">
        <v>46382.0</v>
      </c>
      <c r="C92" s="19" t="s">
        <v>112</v>
      </c>
      <c r="D92" s="21" t="s">
        <v>191</v>
      </c>
      <c r="E92" s="21" t="s">
        <v>113</v>
      </c>
      <c r="F92" s="19">
        <v>45.0</v>
      </c>
      <c r="G92" s="22" t="s">
        <v>76</v>
      </c>
      <c r="H92" s="22" t="s">
        <v>233</v>
      </c>
      <c r="I92" s="22" t="s">
        <v>81</v>
      </c>
      <c r="J92" s="22" t="s">
        <v>210</v>
      </c>
    </row>
    <row r="93" ht="15.75" customHeight="1">
      <c r="A93" s="15">
        <v>13.0</v>
      </c>
      <c r="B93" s="24">
        <v>46383.0</v>
      </c>
      <c r="C93" s="15" t="s">
        <v>116</v>
      </c>
      <c r="D93" s="17" t="s">
        <v>191</v>
      </c>
      <c r="E93" s="17" t="s">
        <v>100</v>
      </c>
      <c r="F93" s="15">
        <v>0.0</v>
      </c>
      <c r="G93" s="18" t="s">
        <v>81</v>
      </c>
      <c r="H93" s="18" t="s">
        <v>193</v>
      </c>
      <c r="I93" s="18" t="s">
        <v>196</v>
      </c>
      <c r="J93" s="18"/>
    </row>
    <row r="94" ht="15.75" customHeight="1">
      <c r="A94" s="23">
        <v>13.0</v>
      </c>
      <c r="B94" s="24">
        <v>46384.0</v>
      </c>
      <c r="C94" s="23" t="s">
        <v>119</v>
      </c>
      <c r="D94" s="25" t="s">
        <v>191</v>
      </c>
      <c r="E94" s="25" t="s">
        <v>234</v>
      </c>
      <c r="F94" s="23">
        <v>30.0</v>
      </c>
      <c r="G94" s="26" t="s">
        <v>110</v>
      </c>
      <c r="H94" s="26" t="s">
        <v>235</v>
      </c>
      <c r="I94" s="26" t="s">
        <v>81</v>
      </c>
      <c r="J94" s="26" t="s">
        <v>236</v>
      </c>
    </row>
    <row r="95" ht="15.75" customHeight="1">
      <c r="A95" s="15">
        <v>13.0</v>
      </c>
      <c r="B95" s="24">
        <v>46385.0</v>
      </c>
      <c r="C95" s="15" t="s">
        <v>124</v>
      </c>
      <c r="D95" s="17" t="s">
        <v>191</v>
      </c>
      <c r="E95" s="17" t="s">
        <v>100</v>
      </c>
      <c r="F95" s="15">
        <v>0.0</v>
      </c>
      <c r="G95" s="18" t="s">
        <v>81</v>
      </c>
      <c r="H95" s="18" t="s">
        <v>107</v>
      </c>
      <c r="I95" s="18" t="s">
        <v>206</v>
      </c>
      <c r="J95" s="18"/>
    </row>
    <row r="96" ht="15.75" customHeight="1">
      <c r="A96" s="9">
        <v>13.0</v>
      </c>
      <c r="B96" s="24">
        <v>46386.0</v>
      </c>
      <c r="C96" s="9" t="s">
        <v>68</v>
      </c>
      <c r="D96" s="14" t="s">
        <v>191</v>
      </c>
      <c r="E96" s="14" t="s">
        <v>73</v>
      </c>
      <c r="F96" s="9">
        <v>30.0</v>
      </c>
      <c r="G96" s="13" t="s">
        <v>110</v>
      </c>
      <c r="H96" s="13" t="s">
        <v>111</v>
      </c>
      <c r="I96" s="13" t="s">
        <v>81</v>
      </c>
      <c r="J96" s="13"/>
    </row>
    <row r="97" ht="15.75" customHeight="1">
      <c r="A97" s="15">
        <v>13.0</v>
      </c>
      <c r="B97" s="24">
        <v>46387.0</v>
      </c>
      <c r="C97" s="15" t="s">
        <v>95</v>
      </c>
      <c r="D97" s="17" t="s">
        <v>191</v>
      </c>
      <c r="E97" s="17" t="s">
        <v>100</v>
      </c>
      <c r="F97" s="15">
        <v>0.0</v>
      </c>
      <c r="G97" s="18" t="s">
        <v>81</v>
      </c>
      <c r="H97" s="18" t="s">
        <v>107</v>
      </c>
      <c r="I97" s="18" t="s">
        <v>207</v>
      </c>
      <c r="J97" s="18"/>
    </row>
    <row r="98" ht="15.75" customHeight="1">
      <c r="A98" s="9">
        <v>13.0</v>
      </c>
      <c r="B98" s="24">
        <v>46388.0</v>
      </c>
      <c r="C98" s="9" t="s">
        <v>109</v>
      </c>
      <c r="D98" s="14" t="s">
        <v>191</v>
      </c>
      <c r="E98" s="14" t="s">
        <v>208</v>
      </c>
      <c r="F98" s="9">
        <v>30.0</v>
      </c>
      <c r="G98" s="13" t="s">
        <v>76</v>
      </c>
      <c r="H98" s="13" t="s">
        <v>209</v>
      </c>
      <c r="I98" s="13" t="s">
        <v>81</v>
      </c>
      <c r="J98" s="13"/>
    </row>
    <row r="99" ht="15.75" customHeight="1">
      <c r="A99" s="19">
        <v>13.0</v>
      </c>
      <c r="B99" s="24">
        <v>46389.0</v>
      </c>
      <c r="C99" s="19" t="s">
        <v>112</v>
      </c>
      <c r="D99" s="21" t="s">
        <v>191</v>
      </c>
      <c r="E99" s="21" t="s">
        <v>113</v>
      </c>
      <c r="F99" s="19">
        <v>55.0</v>
      </c>
      <c r="G99" s="22" t="s">
        <v>76</v>
      </c>
      <c r="H99" s="22" t="s">
        <v>114</v>
      </c>
      <c r="I99" s="22" t="s">
        <v>81</v>
      </c>
      <c r="J99" s="22" t="s">
        <v>210</v>
      </c>
    </row>
    <row r="100" ht="15.75" customHeight="1">
      <c r="A100" s="15">
        <v>14.0</v>
      </c>
      <c r="B100" s="24">
        <v>46390.0</v>
      </c>
      <c r="C100" s="15" t="s">
        <v>116</v>
      </c>
      <c r="D100" s="17" t="s">
        <v>238</v>
      </c>
      <c r="E100" s="17" t="s">
        <v>100</v>
      </c>
      <c r="F100" s="15">
        <v>0.0</v>
      </c>
      <c r="G100" s="18" t="s">
        <v>81</v>
      </c>
      <c r="H100" s="18" t="s">
        <v>117</v>
      </c>
      <c r="I100" s="18" t="s">
        <v>239</v>
      </c>
      <c r="J100" s="18"/>
    </row>
    <row r="101" ht="15.75" customHeight="1">
      <c r="A101" s="23">
        <v>14.0</v>
      </c>
      <c r="B101" s="24">
        <v>46391.0</v>
      </c>
      <c r="C101" s="23" t="s">
        <v>119</v>
      </c>
      <c r="D101" s="25" t="s">
        <v>238</v>
      </c>
      <c r="E101" s="25" t="s">
        <v>120</v>
      </c>
      <c r="F101" s="23">
        <v>40.0</v>
      </c>
      <c r="G101" s="26" t="s">
        <v>121</v>
      </c>
      <c r="H101" s="26" t="s">
        <v>240</v>
      </c>
      <c r="I101" s="26" t="s">
        <v>81</v>
      </c>
      <c r="J101" s="26" t="s">
        <v>123</v>
      </c>
    </row>
    <row r="102" ht="15.75" customHeight="1">
      <c r="A102" s="9">
        <v>14.0</v>
      </c>
      <c r="B102" s="24">
        <v>46392.0</v>
      </c>
      <c r="C102" s="9" t="s">
        <v>124</v>
      </c>
      <c r="D102" s="14" t="s">
        <v>238</v>
      </c>
      <c r="E102" s="14" t="s">
        <v>73</v>
      </c>
      <c r="F102" s="9">
        <v>35.0</v>
      </c>
      <c r="G102" s="13" t="s">
        <v>110</v>
      </c>
      <c r="H102" s="13" t="s">
        <v>241</v>
      </c>
      <c r="I102" s="13" t="s">
        <v>242</v>
      </c>
      <c r="J102" s="13"/>
    </row>
    <row r="103" ht="15.75" customHeight="1">
      <c r="A103" s="23">
        <v>14.0</v>
      </c>
      <c r="B103" s="24">
        <v>46393.0</v>
      </c>
      <c r="C103" s="23" t="s">
        <v>68</v>
      </c>
      <c r="D103" s="25" t="s">
        <v>238</v>
      </c>
      <c r="E103" s="25" t="s">
        <v>137</v>
      </c>
      <c r="F103" s="23">
        <v>33.0</v>
      </c>
      <c r="G103" s="26" t="s">
        <v>138</v>
      </c>
      <c r="H103" s="26" t="s">
        <v>243</v>
      </c>
      <c r="I103" s="26" t="s">
        <v>81</v>
      </c>
      <c r="J103" s="26" t="s">
        <v>140</v>
      </c>
    </row>
    <row r="104" ht="15.75" customHeight="1">
      <c r="A104" s="15">
        <v>14.0</v>
      </c>
      <c r="B104" s="24">
        <v>46394.0</v>
      </c>
      <c r="C104" s="15" t="s">
        <v>95</v>
      </c>
      <c r="D104" s="17" t="s">
        <v>238</v>
      </c>
      <c r="E104" s="17" t="s">
        <v>100</v>
      </c>
      <c r="F104" s="15">
        <v>0.0</v>
      </c>
      <c r="G104" s="18" t="s">
        <v>81</v>
      </c>
      <c r="H104" s="18" t="s">
        <v>107</v>
      </c>
      <c r="I104" s="18" t="s">
        <v>244</v>
      </c>
      <c r="J104" s="18"/>
    </row>
    <row r="105" ht="15.75" customHeight="1">
      <c r="A105" s="9">
        <v>14.0</v>
      </c>
      <c r="B105" s="24">
        <v>46395.0</v>
      </c>
      <c r="C105" s="9" t="s">
        <v>109</v>
      </c>
      <c r="D105" s="14" t="s">
        <v>238</v>
      </c>
      <c r="E105" s="14" t="s">
        <v>73</v>
      </c>
      <c r="F105" s="9">
        <v>30.0</v>
      </c>
      <c r="G105" s="13" t="s">
        <v>110</v>
      </c>
      <c r="H105" s="13" t="s">
        <v>235</v>
      </c>
      <c r="I105" s="13" t="s">
        <v>81</v>
      </c>
      <c r="J105" s="13" t="s">
        <v>134</v>
      </c>
    </row>
    <row r="106" ht="15.75" customHeight="1">
      <c r="A106" s="19">
        <v>14.0</v>
      </c>
      <c r="B106" s="24">
        <v>46396.0</v>
      </c>
      <c r="C106" s="19" t="s">
        <v>112</v>
      </c>
      <c r="D106" s="21" t="s">
        <v>238</v>
      </c>
      <c r="E106" s="21" t="s">
        <v>113</v>
      </c>
      <c r="F106" s="19">
        <v>60.0</v>
      </c>
      <c r="G106" s="22" t="s">
        <v>76</v>
      </c>
      <c r="H106" s="22" t="s">
        <v>135</v>
      </c>
      <c r="I106" s="22" t="s">
        <v>81</v>
      </c>
      <c r="J106" s="22"/>
    </row>
    <row r="107" ht="15.75" customHeight="1">
      <c r="A107" s="15">
        <v>15.0</v>
      </c>
      <c r="B107" s="24">
        <v>46397.0</v>
      </c>
      <c r="C107" s="15" t="s">
        <v>116</v>
      </c>
      <c r="D107" s="17" t="s">
        <v>238</v>
      </c>
      <c r="E107" s="17" t="s">
        <v>100</v>
      </c>
      <c r="F107" s="15">
        <v>0.0</v>
      </c>
      <c r="G107" s="18" t="s">
        <v>81</v>
      </c>
      <c r="H107" s="18" t="s">
        <v>117</v>
      </c>
      <c r="I107" s="18" t="s">
        <v>245</v>
      </c>
      <c r="J107" s="18"/>
    </row>
    <row r="108" ht="15.75" customHeight="1">
      <c r="A108" s="23">
        <v>15.0</v>
      </c>
      <c r="B108" s="24">
        <v>46398.0</v>
      </c>
      <c r="C108" s="23" t="s">
        <v>119</v>
      </c>
      <c r="D108" s="25" t="s">
        <v>238</v>
      </c>
      <c r="E108" s="25" t="s">
        <v>120</v>
      </c>
      <c r="F108" s="23">
        <v>40.0</v>
      </c>
      <c r="G108" s="26" t="s">
        <v>121</v>
      </c>
      <c r="H108" s="26" t="s">
        <v>246</v>
      </c>
      <c r="I108" s="26" t="s">
        <v>81</v>
      </c>
      <c r="J108" s="26" t="s">
        <v>123</v>
      </c>
    </row>
    <row r="109" ht="15.75" customHeight="1">
      <c r="A109" s="9">
        <v>15.0</v>
      </c>
      <c r="B109" s="24">
        <v>46399.0</v>
      </c>
      <c r="C109" s="9" t="s">
        <v>124</v>
      </c>
      <c r="D109" s="14" t="s">
        <v>238</v>
      </c>
      <c r="E109" s="14" t="s">
        <v>73</v>
      </c>
      <c r="F109" s="9">
        <v>35.0</v>
      </c>
      <c r="G109" s="13" t="s">
        <v>76</v>
      </c>
      <c r="H109" s="13" t="s">
        <v>247</v>
      </c>
      <c r="I109" s="13" t="s">
        <v>248</v>
      </c>
      <c r="J109" s="13"/>
    </row>
    <row r="110" ht="15.75" customHeight="1">
      <c r="A110" s="23">
        <v>15.0</v>
      </c>
      <c r="B110" s="24">
        <v>46400.0</v>
      </c>
      <c r="C110" s="23" t="s">
        <v>68</v>
      </c>
      <c r="D110" s="25" t="s">
        <v>238</v>
      </c>
      <c r="E110" s="25" t="s">
        <v>126</v>
      </c>
      <c r="F110" s="23">
        <v>38.0</v>
      </c>
      <c r="G110" s="26" t="s">
        <v>127</v>
      </c>
      <c r="H110" s="26" t="s">
        <v>249</v>
      </c>
      <c r="I110" s="26" t="s">
        <v>81</v>
      </c>
      <c r="J110" s="26" t="s">
        <v>129</v>
      </c>
    </row>
    <row r="111" ht="15.75" customHeight="1">
      <c r="A111" s="15">
        <v>15.0</v>
      </c>
      <c r="B111" s="24">
        <v>46401.0</v>
      </c>
      <c r="C111" s="15" t="s">
        <v>95</v>
      </c>
      <c r="D111" s="17" t="s">
        <v>238</v>
      </c>
      <c r="E111" s="17" t="s">
        <v>100</v>
      </c>
      <c r="F111" s="15">
        <v>0.0</v>
      </c>
      <c r="G111" s="18" t="s">
        <v>81</v>
      </c>
      <c r="H111" s="18" t="s">
        <v>107</v>
      </c>
      <c r="I111" s="18" t="s">
        <v>250</v>
      </c>
      <c r="J111" s="18"/>
    </row>
    <row r="112" ht="15.75" customHeight="1">
      <c r="A112" s="9">
        <v>15.0</v>
      </c>
      <c r="B112" s="24">
        <v>46402.0</v>
      </c>
      <c r="C112" s="9" t="s">
        <v>109</v>
      </c>
      <c r="D112" s="14" t="s">
        <v>238</v>
      </c>
      <c r="E112" s="14" t="s">
        <v>73</v>
      </c>
      <c r="F112" s="9">
        <v>30.0</v>
      </c>
      <c r="G112" s="13" t="s">
        <v>110</v>
      </c>
      <c r="H112" s="13" t="s">
        <v>235</v>
      </c>
      <c r="I112" s="13" t="s">
        <v>81</v>
      </c>
      <c r="J112" s="13" t="s">
        <v>134</v>
      </c>
    </row>
    <row r="113" ht="15.75" customHeight="1">
      <c r="A113" s="19">
        <v>15.0</v>
      </c>
      <c r="B113" s="24">
        <v>46403.0</v>
      </c>
      <c r="C113" s="19" t="s">
        <v>112</v>
      </c>
      <c r="D113" s="21" t="s">
        <v>238</v>
      </c>
      <c r="E113" s="21" t="s">
        <v>113</v>
      </c>
      <c r="F113" s="19">
        <v>65.0</v>
      </c>
      <c r="G113" s="22" t="s">
        <v>76</v>
      </c>
      <c r="H113" s="22" t="s">
        <v>161</v>
      </c>
      <c r="I113" s="22" t="s">
        <v>81</v>
      </c>
      <c r="J113" s="22"/>
    </row>
    <row r="114" ht="15.75" customHeight="1">
      <c r="A114" s="15">
        <v>16.0</v>
      </c>
      <c r="B114" s="24">
        <v>46404.0</v>
      </c>
      <c r="C114" s="15" t="s">
        <v>116</v>
      </c>
      <c r="D114" s="17" t="s">
        <v>238</v>
      </c>
      <c r="E114" s="17" t="s">
        <v>100</v>
      </c>
      <c r="F114" s="15">
        <v>0.0</v>
      </c>
      <c r="G114" s="18" t="s">
        <v>81</v>
      </c>
      <c r="H114" s="18" t="s">
        <v>117</v>
      </c>
      <c r="I114" s="18" t="s">
        <v>251</v>
      </c>
      <c r="J114" s="18"/>
    </row>
    <row r="115" ht="15.75" customHeight="1">
      <c r="A115" s="23">
        <v>16.0</v>
      </c>
      <c r="B115" s="24">
        <v>46405.0</v>
      </c>
      <c r="C115" s="23" t="s">
        <v>119</v>
      </c>
      <c r="D115" s="25" t="s">
        <v>238</v>
      </c>
      <c r="E115" s="25" t="s">
        <v>120</v>
      </c>
      <c r="F115" s="23">
        <v>38.0</v>
      </c>
      <c r="G115" s="26" t="s">
        <v>121</v>
      </c>
      <c r="H115" s="26" t="s">
        <v>252</v>
      </c>
      <c r="I115" s="26" t="s">
        <v>81</v>
      </c>
      <c r="J115" s="26" t="s">
        <v>123</v>
      </c>
    </row>
    <row r="116" ht="15.75" customHeight="1">
      <c r="A116" s="9">
        <v>16.0</v>
      </c>
      <c r="B116" s="24">
        <v>46406.0</v>
      </c>
      <c r="C116" s="9" t="s">
        <v>124</v>
      </c>
      <c r="D116" s="14" t="s">
        <v>238</v>
      </c>
      <c r="E116" s="14" t="s">
        <v>73</v>
      </c>
      <c r="F116" s="9">
        <v>35.0</v>
      </c>
      <c r="G116" s="13" t="s">
        <v>110</v>
      </c>
      <c r="H116" s="13" t="s">
        <v>241</v>
      </c>
      <c r="I116" s="13" t="s">
        <v>253</v>
      </c>
      <c r="J116" s="13"/>
    </row>
    <row r="117" ht="15.75" customHeight="1">
      <c r="A117" s="23">
        <v>16.0</v>
      </c>
      <c r="B117" s="24">
        <v>46407.0</v>
      </c>
      <c r="C117" s="23" t="s">
        <v>68</v>
      </c>
      <c r="D117" s="25" t="s">
        <v>238</v>
      </c>
      <c r="E117" s="25" t="s">
        <v>137</v>
      </c>
      <c r="F117" s="23">
        <v>37.0</v>
      </c>
      <c r="G117" s="26" t="s">
        <v>138</v>
      </c>
      <c r="H117" s="26" t="s">
        <v>254</v>
      </c>
      <c r="I117" s="26" t="s">
        <v>81</v>
      </c>
      <c r="J117" s="26" t="s">
        <v>140</v>
      </c>
    </row>
    <row r="118" ht="15.75" customHeight="1">
      <c r="A118" s="15">
        <v>16.0</v>
      </c>
      <c r="B118" s="24">
        <v>46408.0</v>
      </c>
      <c r="C118" s="15" t="s">
        <v>95</v>
      </c>
      <c r="D118" s="17" t="s">
        <v>238</v>
      </c>
      <c r="E118" s="17" t="s">
        <v>100</v>
      </c>
      <c r="F118" s="15">
        <v>0.0</v>
      </c>
      <c r="G118" s="18" t="s">
        <v>81</v>
      </c>
      <c r="H118" s="18" t="s">
        <v>107</v>
      </c>
      <c r="I118" s="18" t="s">
        <v>255</v>
      </c>
      <c r="J118" s="18"/>
    </row>
    <row r="119" ht="15.75" customHeight="1">
      <c r="A119" s="9">
        <v>16.0</v>
      </c>
      <c r="B119" s="24">
        <v>46409.0</v>
      </c>
      <c r="C119" s="9" t="s">
        <v>109</v>
      </c>
      <c r="D119" s="14" t="s">
        <v>238</v>
      </c>
      <c r="E119" s="14" t="s">
        <v>73</v>
      </c>
      <c r="F119" s="9">
        <v>30.0</v>
      </c>
      <c r="G119" s="13" t="s">
        <v>110</v>
      </c>
      <c r="H119" s="13" t="s">
        <v>235</v>
      </c>
      <c r="I119" s="13" t="s">
        <v>81</v>
      </c>
      <c r="J119" s="13" t="s">
        <v>134</v>
      </c>
    </row>
    <row r="120" ht="15.75" customHeight="1">
      <c r="A120" s="19">
        <v>16.0</v>
      </c>
      <c r="B120" s="24">
        <v>46410.0</v>
      </c>
      <c r="C120" s="19" t="s">
        <v>112</v>
      </c>
      <c r="D120" s="21" t="s">
        <v>238</v>
      </c>
      <c r="E120" s="21" t="s">
        <v>113</v>
      </c>
      <c r="F120" s="19">
        <v>70.0</v>
      </c>
      <c r="G120" s="22" t="s">
        <v>76</v>
      </c>
      <c r="H120" s="22" t="s">
        <v>256</v>
      </c>
      <c r="I120" s="22" t="s">
        <v>81</v>
      </c>
      <c r="J120" s="22"/>
    </row>
    <row r="121" ht="15.75" customHeight="1">
      <c r="A121" s="15">
        <v>17.0</v>
      </c>
      <c r="B121" s="24">
        <v>46411.0</v>
      </c>
      <c r="C121" s="15" t="s">
        <v>116</v>
      </c>
      <c r="D121" s="17" t="s">
        <v>238</v>
      </c>
      <c r="E121" s="17" t="s">
        <v>100</v>
      </c>
      <c r="F121" s="15">
        <v>0.0</v>
      </c>
      <c r="G121" s="18" t="s">
        <v>81</v>
      </c>
      <c r="H121" s="18" t="s">
        <v>117</v>
      </c>
      <c r="I121" s="18" t="s">
        <v>257</v>
      </c>
      <c r="J121" s="18"/>
    </row>
    <row r="122" ht="15.75" customHeight="1">
      <c r="A122" s="23">
        <v>17.0</v>
      </c>
      <c r="B122" s="24">
        <v>46412.0</v>
      </c>
      <c r="C122" s="23" t="s">
        <v>119</v>
      </c>
      <c r="D122" s="25" t="s">
        <v>238</v>
      </c>
      <c r="E122" s="25" t="s">
        <v>169</v>
      </c>
      <c r="F122" s="23">
        <v>35.0</v>
      </c>
      <c r="G122" s="26" t="s">
        <v>121</v>
      </c>
      <c r="H122" s="26" t="s">
        <v>258</v>
      </c>
      <c r="I122" s="26" t="s">
        <v>81</v>
      </c>
      <c r="J122" s="26" t="s">
        <v>123</v>
      </c>
    </row>
    <row r="123" ht="15.75" customHeight="1">
      <c r="A123" s="9">
        <v>17.0</v>
      </c>
      <c r="B123" s="24">
        <v>46413.0</v>
      </c>
      <c r="C123" s="9" t="s">
        <v>124</v>
      </c>
      <c r="D123" s="14" t="s">
        <v>238</v>
      </c>
      <c r="E123" s="14" t="s">
        <v>73</v>
      </c>
      <c r="F123" s="9">
        <v>30.0</v>
      </c>
      <c r="G123" s="13" t="s">
        <v>76</v>
      </c>
      <c r="H123" s="13" t="s">
        <v>78</v>
      </c>
      <c r="I123" s="13" t="s">
        <v>259</v>
      </c>
      <c r="J123" s="13"/>
    </row>
    <row r="124" ht="15.75" customHeight="1">
      <c r="A124" s="23">
        <v>17.0</v>
      </c>
      <c r="B124" s="24">
        <v>46414.0</v>
      </c>
      <c r="C124" s="23" t="s">
        <v>68</v>
      </c>
      <c r="D124" s="25" t="s">
        <v>238</v>
      </c>
      <c r="E124" s="25" t="s">
        <v>126</v>
      </c>
      <c r="F124" s="23">
        <v>38.0</v>
      </c>
      <c r="G124" s="26" t="s">
        <v>127</v>
      </c>
      <c r="H124" s="26" t="s">
        <v>260</v>
      </c>
      <c r="I124" s="26" t="s">
        <v>81</v>
      </c>
      <c r="J124" s="26" t="s">
        <v>129</v>
      </c>
    </row>
    <row r="125" ht="15.75" customHeight="1">
      <c r="A125" s="15">
        <v>17.0</v>
      </c>
      <c r="B125" s="24">
        <v>46415.0</v>
      </c>
      <c r="C125" s="15" t="s">
        <v>95</v>
      </c>
      <c r="D125" s="17" t="s">
        <v>238</v>
      </c>
      <c r="E125" s="17" t="s">
        <v>100</v>
      </c>
      <c r="F125" s="15">
        <v>0.0</v>
      </c>
      <c r="G125" s="18" t="s">
        <v>81</v>
      </c>
      <c r="H125" s="18" t="s">
        <v>107</v>
      </c>
      <c r="I125" s="18" t="s">
        <v>261</v>
      </c>
      <c r="J125" s="18"/>
    </row>
    <row r="126" ht="15.75" customHeight="1">
      <c r="A126" s="9">
        <v>17.0</v>
      </c>
      <c r="B126" s="24">
        <v>46416.0</v>
      </c>
      <c r="C126" s="9" t="s">
        <v>109</v>
      </c>
      <c r="D126" s="14" t="s">
        <v>238</v>
      </c>
      <c r="E126" s="14" t="s">
        <v>73</v>
      </c>
      <c r="F126" s="9">
        <v>25.0</v>
      </c>
      <c r="G126" s="13" t="s">
        <v>110</v>
      </c>
      <c r="H126" s="13" t="s">
        <v>262</v>
      </c>
      <c r="I126" s="13" t="s">
        <v>81</v>
      </c>
      <c r="J126" s="13" t="s">
        <v>134</v>
      </c>
    </row>
    <row r="127" ht="15.75" customHeight="1">
      <c r="A127" s="19">
        <v>17.0</v>
      </c>
      <c r="B127" s="24">
        <v>46417.0</v>
      </c>
      <c r="C127" s="19" t="s">
        <v>112</v>
      </c>
      <c r="D127" s="21" t="s">
        <v>238</v>
      </c>
      <c r="E127" s="21" t="s">
        <v>113</v>
      </c>
      <c r="F127" s="19">
        <v>55.0</v>
      </c>
      <c r="G127" s="22" t="s">
        <v>76</v>
      </c>
      <c r="H127" s="22" t="s">
        <v>114</v>
      </c>
      <c r="I127" s="22" t="s">
        <v>81</v>
      </c>
      <c r="J127" s="22"/>
    </row>
    <row r="128" ht="15.75" customHeight="1">
      <c r="A128" s="15">
        <v>18.0</v>
      </c>
      <c r="B128" s="24">
        <v>46418.0</v>
      </c>
      <c r="C128" s="15" t="s">
        <v>116</v>
      </c>
      <c r="D128" s="17" t="s">
        <v>238</v>
      </c>
      <c r="E128" s="17" t="s">
        <v>100</v>
      </c>
      <c r="F128" s="15">
        <v>0.0</v>
      </c>
      <c r="G128" s="18" t="s">
        <v>81</v>
      </c>
      <c r="H128" s="18" t="s">
        <v>117</v>
      </c>
      <c r="I128" s="18" t="s">
        <v>239</v>
      </c>
      <c r="J128" s="18"/>
    </row>
    <row r="129" ht="15.75" customHeight="1">
      <c r="A129" s="23">
        <v>18.0</v>
      </c>
      <c r="B129" s="24">
        <v>46419.0</v>
      </c>
      <c r="C129" s="23" t="s">
        <v>119</v>
      </c>
      <c r="D129" s="25" t="s">
        <v>238</v>
      </c>
      <c r="E129" s="25" t="s">
        <v>120</v>
      </c>
      <c r="F129" s="23">
        <v>36.0</v>
      </c>
      <c r="G129" s="26" t="s">
        <v>121</v>
      </c>
      <c r="H129" s="26" t="s">
        <v>215</v>
      </c>
      <c r="I129" s="26" t="s">
        <v>81</v>
      </c>
      <c r="J129" s="26" t="s">
        <v>123</v>
      </c>
    </row>
    <row r="130" ht="15.75" customHeight="1">
      <c r="A130" s="9">
        <v>18.0</v>
      </c>
      <c r="B130" s="24">
        <v>46420.0</v>
      </c>
      <c r="C130" s="9" t="s">
        <v>124</v>
      </c>
      <c r="D130" s="14" t="s">
        <v>238</v>
      </c>
      <c r="E130" s="14" t="s">
        <v>73</v>
      </c>
      <c r="F130" s="9">
        <v>35.0</v>
      </c>
      <c r="G130" s="13" t="s">
        <v>110</v>
      </c>
      <c r="H130" s="13" t="s">
        <v>241</v>
      </c>
      <c r="I130" s="13" t="s">
        <v>242</v>
      </c>
      <c r="J130" s="13"/>
    </row>
    <row r="131" ht="15.75" customHeight="1">
      <c r="A131" s="37">
        <v>18.0</v>
      </c>
      <c r="B131" s="24">
        <v>46421.0</v>
      </c>
      <c r="C131" s="37" t="s">
        <v>68</v>
      </c>
      <c r="D131" s="38" t="s">
        <v>238</v>
      </c>
      <c r="E131" s="38" t="s">
        <v>265</v>
      </c>
      <c r="F131" s="37">
        <v>40.0</v>
      </c>
      <c r="G131" s="39" t="s">
        <v>266</v>
      </c>
      <c r="H131" s="39" t="s">
        <v>267</v>
      </c>
      <c r="I131" s="39" t="s">
        <v>81</v>
      </c>
      <c r="J131" s="39" t="s">
        <v>268</v>
      </c>
    </row>
    <row r="132" ht="15.75" customHeight="1">
      <c r="A132" s="15">
        <v>18.0</v>
      </c>
      <c r="B132" s="24">
        <v>46422.0</v>
      </c>
      <c r="C132" s="15" t="s">
        <v>95</v>
      </c>
      <c r="D132" s="17" t="s">
        <v>238</v>
      </c>
      <c r="E132" s="17" t="s">
        <v>100</v>
      </c>
      <c r="F132" s="15">
        <v>0.0</v>
      </c>
      <c r="G132" s="18" t="s">
        <v>81</v>
      </c>
      <c r="H132" s="18" t="s">
        <v>107</v>
      </c>
      <c r="I132" s="18" t="s">
        <v>244</v>
      </c>
      <c r="J132" s="18"/>
    </row>
    <row r="133" ht="15.75" customHeight="1">
      <c r="A133" s="9">
        <v>18.0</v>
      </c>
      <c r="B133" s="24">
        <v>46423.0</v>
      </c>
      <c r="C133" s="9" t="s">
        <v>109</v>
      </c>
      <c r="D133" s="14" t="s">
        <v>238</v>
      </c>
      <c r="E133" s="14" t="s">
        <v>73</v>
      </c>
      <c r="F133" s="9">
        <v>30.0</v>
      </c>
      <c r="G133" s="13" t="s">
        <v>110</v>
      </c>
      <c r="H133" s="13" t="s">
        <v>235</v>
      </c>
      <c r="I133" s="13" t="s">
        <v>81</v>
      </c>
      <c r="J133" s="13" t="s">
        <v>134</v>
      </c>
    </row>
    <row r="134" ht="15.75" customHeight="1">
      <c r="A134" s="19">
        <v>18.0</v>
      </c>
      <c r="B134" s="24">
        <v>46424.0</v>
      </c>
      <c r="C134" s="19" t="s">
        <v>112</v>
      </c>
      <c r="D134" s="21" t="s">
        <v>238</v>
      </c>
      <c r="E134" s="21" t="s">
        <v>113</v>
      </c>
      <c r="F134" s="19">
        <v>70.0</v>
      </c>
      <c r="G134" s="22" t="s">
        <v>76</v>
      </c>
      <c r="H134" s="22" t="s">
        <v>256</v>
      </c>
      <c r="I134" s="22" t="s">
        <v>81</v>
      </c>
      <c r="J134" s="22"/>
    </row>
    <row r="135" ht="15.75" customHeight="1">
      <c r="A135" s="15">
        <v>19.0</v>
      </c>
      <c r="B135" s="24">
        <v>46425.0</v>
      </c>
      <c r="C135" s="15" t="s">
        <v>116</v>
      </c>
      <c r="D135" s="17" t="s">
        <v>238</v>
      </c>
      <c r="E135" s="17" t="s">
        <v>100</v>
      </c>
      <c r="F135" s="15">
        <v>0.0</v>
      </c>
      <c r="G135" s="18" t="s">
        <v>81</v>
      </c>
      <c r="H135" s="18" t="s">
        <v>117</v>
      </c>
      <c r="I135" s="18" t="s">
        <v>245</v>
      </c>
      <c r="J135" s="18"/>
    </row>
    <row r="136" ht="15.75" customHeight="1">
      <c r="A136" s="23">
        <v>19.0</v>
      </c>
      <c r="B136" s="24">
        <v>46426.0</v>
      </c>
      <c r="C136" s="23" t="s">
        <v>119</v>
      </c>
      <c r="D136" s="25" t="s">
        <v>238</v>
      </c>
      <c r="E136" s="25" t="s">
        <v>120</v>
      </c>
      <c r="F136" s="23">
        <v>40.0</v>
      </c>
      <c r="G136" s="26" t="s">
        <v>121</v>
      </c>
      <c r="H136" s="26" t="s">
        <v>270</v>
      </c>
      <c r="I136" s="26" t="s">
        <v>81</v>
      </c>
      <c r="J136" s="26" t="s">
        <v>123</v>
      </c>
    </row>
    <row r="137" ht="15.75" customHeight="1">
      <c r="A137" s="9">
        <v>19.0</v>
      </c>
      <c r="B137" s="24">
        <v>46427.0</v>
      </c>
      <c r="C137" s="9" t="s">
        <v>124</v>
      </c>
      <c r="D137" s="14" t="s">
        <v>238</v>
      </c>
      <c r="E137" s="14" t="s">
        <v>73</v>
      </c>
      <c r="F137" s="9">
        <v>35.0</v>
      </c>
      <c r="G137" s="13" t="s">
        <v>76</v>
      </c>
      <c r="H137" s="13" t="s">
        <v>247</v>
      </c>
      <c r="I137" s="13" t="s">
        <v>248</v>
      </c>
      <c r="J137" s="13"/>
    </row>
    <row r="138" ht="15.75" customHeight="1">
      <c r="A138" s="23">
        <v>19.0</v>
      </c>
      <c r="B138" s="24">
        <v>46428.0</v>
      </c>
      <c r="C138" s="23" t="s">
        <v>68</v>
      </c>
      <c r="D138" s="25" t="s">
        <v>238</v>
      </c>
      <c r="E138" s="25" t="s">
        <v>126</v>
      </c>
      <c r="F138" s="23">
        <v>38.0</v>
      </c>
      <c r="G138" s="26" t="s">
        <v>127</v>
      </c>
      <c r="H138" s="26" t="s">
        <v>271</v>
      </c>
      <c r="I138" s="26" t="s">
        <v>81</v>
      </c>
      <c r="J138" s="26" t="s">
        <v>129</v>
      </c>
    </row>
    <row r="139" ht="15.75" customHeight="1">
      <c r="A139" s="15">
        <v>19.0</v>
      </c>
      <c r="B139" s="24">
        <v>46429.0</v>
      </c>
      <c r="C139" s="15" t="s">
        <v>95</v>
      </c>
      <c r="D139" s="17" t="s">
        <v>238</v>
      </c>
      <c r="E139" s="17" t="s">
        <v>100</v>
      </c>
      <c r="F139" s="15">
        <v>0.0</v>
      </c>
      <c r="G139" s="18" t="s">
        <v>81</v>
      </c>
      <c r="H139" s="18" t="s">
        <v>107</v>
      </c>
      <c r="I139" s="18" t="s">
        <v>250</v>
      </c>
      <c r="J139" s="18"/>
    </row>
    <row r="140" ht="15.75" customHeight="1">
      <c r="A140" s="9">
        <v>19.0</v>
      </c>
      <c r="B140" s="24">
        <v>46430.0</v>
      </c>
      <c r="C140" s="9" t="s">
        <v>109</v>
      </c>
      <c r="D140" s="14" t="s">
        <v>238</v>
      </c>
      <c r="E140" s="14" t="s">
        <v>73</v>
      </c>
      <c r="F140" s="9">
        <v>30.0</v>
      </c>
      <c r="G140" s="13" t="s">
        <v>110</v>
      </c>
      <c r="H140" s="13" t="s">
        <v>235</v>
      </c>
      <c r="I140" s="13" t="s">
        <v>81</v>
      </c>
      <c r="J140" s="13" t="s">
        <v>134</v>
      </c>
    </row>
    <row r="141" ht="15.75" customHeight="1">
      <c r="A141" s="19">
        <v>19.0</v>
      </c>
      <c r="B141" s="24">
        <v>46431.0</v>
      </c>
      <c r="C141" s="19" t="s">
        <v>112</v>
      </c>
      <c r="D141" s="21" t="s">
        <v>238</v>
      </c>
      <c r="E141" s="21" t="s">
        <v>113</v>
      </c>
      <c r="F141" s="19">
        <v>75.0</v>
      </c>
      <c r="G141" s="22" t="s">
        <v>76</v>
      </c>
      <c r="H141" s="22" t="s">
        <v>272</v>
      </c>
      <c r="I141" s="22" t="s">
        <v>81</v>
      </c>
      <c r="J141" s="22" t="s">
        <v>273</v>
      </c>
    </row>
    <row r="142" ht="15.75" customHeight="1">
      <c r="A142" s="15">
        <v>20.0</v>
      </c>
      <c r="B142" s="24">
        <v>46432.0</v>
      </c>
      <c r="C142" s="15" t="s">
        <v>116</v>
      </c>
      <c r="D142" s="17" t="s">
        <v>238</v>
      </c>
      <c r="E142" s="17" t="s">
        <v>100</v>
      </c>
      <c r="F142" s="15">
        <v>0.0</v>
      </c>
      <c r="G142" s="18" t="s">
        <v>81</v>
      </c>
      <c r="H142" s="18" t="s">
        <v>117</v>
      </c>
      <c r="I142" s="18" t="s">
        <v>251</v>
      </c>
      <c r="J142" s="18"/>
    </row>
    <row r="143" ht="15.75" customHeight="1">
      <c r="A143" s="23">
        <v>20.0</v>
      </c>
      <c r="B143" s="24">
        <v>46433.0</v>
      </c>
      <c r="C143" s="23" t="s">
        <v>119</v>
      </c>
      <c r="D143" s="25" t="s">
        <v>238</v>
      </c>
      <c r="E143" s="25" t="s">
        <v>120</v>
      </c>
      <c r="F143" s="23">
        <v>40.0</v>
      </c>
      <c r="G143" s="26" t="s">
        <v>121</v>
      </c>
      <c r="H143" s="26" t="s">
        <v>275</v>
      </c>
      <c r="I143" s="26" t="s">
        <v>81</v>
      </c>
      <c r="J143" s="26" t="s">
        <v>123</v>
      </c>
    </row>
    <row r="144" ht="15.75" customHeight="1">
      <c r="A144" s="9">
        <v>20.0</v>
      </c>
      <c r="B144" s="24">
        <v>46434.0</v>
      </c>
      <c r="C144" s="9" t="s">
        <v>124</v>
      </c>
      <c r="D144" s="14" t="s">
        <v>238</v>
      </c>
      <c r="E144" s="14" t="s">
        <v>73</v>
      </c>
      <c r="F144" s="9">
        <v>35.0</v>
      </c>
      <c r="G144" s="13" t="s">
        <v>110</v>
      </c>
      <c r="H144" s="13" t="s">
        <v>241</v>
      </c>
      <c r="I144" s="13" t="s">
        <v>253</v>
      </c>
      <c r="J144" s="13"/>
    </row>
    <row r="145" ht="15.75" customHeight="1">
      <c r="A145" s="23">
        <v>20.0</v>
      </c>
      <c r="B145" s="24">
        <v>46435.0</v>
      </c>
      <c r="C145" s="23" t="s">
        <v>68</v>
      </c>
      <c r="D145" s="25" t="s">
        <v>238</v>
      </c>
      <c r="E145" s="25" t="s">
        <v>137</v>
      </c>
      <c r="F145" s="23">
        <v>38.0</v>
      </c>
      <c r="G145" s="26" t="s">
        <v>138</v>
      </c>
      <c r="H145" s="26" t="s">
        <v>276</v>
      </c>
      <c r="I145" s="26" t="s">
        <v>81</v>
      </c>
      <c r="J145" s="26" t="s">
        <v>140</v>
      </c>
    </row>
    <row r="146" ht="15.75" customHeight="1">
      <c r="A146" s="15">
        <v>20.0</v>
      </c>
      <c r="B146" s="24">
        <v>46436.0</v>
      </c>
      <c r="C146" s="15" t="s">
        <v>95</v>
      </c>
      <c r="D146" s="17" t="s">
        <v>238</v>
      </c>
      <c r="E146" s="17" t="s">
        <v>100</v>
      </c>
      <c r="F146" s="15">
        <v>0.0</v>
      </c>
      <c r="G146" s="18" t="s">
        <v>81</v>
      </c>
      <c r="H146" s="18" t="s">
        <v>107</v>
      </c>
      <c r="I146" s="18" t="s">
        <v>255</v>
      </c>
      <c r="J146" s="18"/>
    </row>
    <row r="147" ht="15.75" customHeight="1">
      <c r="A147" s="9">
        <v>20.0</v>
      </c>
      <c r="B147" s="24">
        <v>46437.0</v>
      </c>
      <c r="C147" s="9" t="s">
        <v>109</v>
      </c>
      <c r="D147" s="14" t="s">
        <v>238</v>
      </c>
      <c r="E147" s="14" t="s">
        <v>73</v>
      </c>
      <c r="F147" s="9">
        <v>30.0</v>
      </c>
      <c r="G147" s="13" t="s">
        <v>110</v>
      </c>
      <c r="H147" s="13" t="s">
        <v>235</v>
      </c>
      <c r="I147" s="13" t="s">
        <v>81</v>
      </c>
      <c r="J147" s="13" t="s">
        <v>134</v>
      </c>
    </row>
    <row r="148" ht="15.75" customHeight="1">
      <c r="A148" s="19">
        <v>20.0</v>
      </c>
      <c r="B148" s="24">
        <v>46438.0</v>
      </c>
      <c r="C148" s="19" t="s">
        <v>112</v>
      </c>
      <c r="D148" s="21" t="s">
        <v>238</v>
      </c>
      <c r="E148" s="21" t="s">
        <v>113</v>
      </c>
      <c r="F148" s="19">
        <v>80.0</v>
      </c>
      <c r="G148" s="22" t="s">
        <v>76</v>
      </c>
      <c r="H148" s="22" t="s">
        <v>277</v>
      </c>
      <c r="I148" s="22" t="s">
        <v>81</v>
      </c>
      <c r="J148" s="22" t="s">
        <v>273</v>
      </c>
    </row>
    <row r="149" ht="15.75" customHeight="1">
      <c r="A149" s="15">
        <v>21.0</v>
      </c>
      <c r="B149" s="24">
        <v>46439.0</v>
      </c>
      <c r="C149" s="15" t="s">
        <v>116</v>
      </c>
      <c r="D149" s="17" t="s">
        <v>238</v>
      </c>
      <c r="E149" s="17" t="s">
        <v>100</v>
      </c>
      <c r="F149" s="15">
        <v>0.0</v>
      </c>
      <c r="G149" s="18" t="s">
        <v>81</v>
      </c>
      <c r="H149" s="18" t="s">
        <v>117</v>
      </c>
      <c r="I149" s="18" t="s">
        <v>257</v>
      </c>
      <c r="J149" s="18"/>
    </row>
    <row r="150" ht="15.75" customHeight="1">
      <c r="A150" s="23">
        <v>21.0</v>
      </c>
      <c r="B150" s="24">
        <v>46440.0</v>
      </c>
      <c r="C150" s="23" t="s">
        <v>119</v>
      </c>
      <c r="D150" s="25" t="s">
        <v>238</v>
      </c>
      <c r="E150" s="25" t="s">
        <v>169</v>
      </c>
      <c r="F150" s="23">
        <v>35.0</v>
      </c>
      <c r="G150" s="26" t="s">
        <v>121</v>
      </c>
      <c r="H150" s="26" t="s">
        <v>258</v>
      </c>
      <c r="I150" s="26" t="s">
        <v>81</v>
      </c>
      <c r="J150" s="26" t="s">
        <v>123</v>
      </c>
    </row>
    <row r="151" ht="15.75" customHeight="1">
      <c r="A151" s="9">
        <v>21.0</v>
      </c>
      <c r="B151" s="24">
        <v>46441.0</v>
      </c>
      <c r="C151" s="9" t="s">
        <v>124</v>
      </c>
      <c r="D151" s="14" t="s">
        <v>238</v>
      </c>
      <c r="E151" s="14" t="s">
        <v>73</v>
      </c>
      <c r="F151" s="9">
        <v>30.0</v>
      </c>
      <c r="G151" s="13" t="s">
        <v>76</v>
      </c>
      <c r="H151" s="13" t="s">
        <v>78</v>
      </c>
      <c r="I151" s="13" t="s">
        <v>259</v>
      </c>
      <c r="J151" s="13"/>
    </row>
    <row r="152" ht="15.75" customHeight="1">
      <c r="A152" s="23">
        <v>21.0</v>
      </c>
      <c r="B152" s="24">
        <v>46442.0</v>
      </c>
      <c r="C152" s="23" t="s">
        <v>68</v>
      </c>
      <c r="D152" s="25" t="s">
        <v>238</v>
      </c>
      <c r="E152" s="25" t="s">
        <v>126</v>
      </c>
      <c r="F152" s="23">
        <v>38.0</v>
      </c>
      <c r="G152" s="26" t="s">
        <v>127</v>
      </c>
      <c r="H152" s="26" t="s">
        <v>260</v>
      </c>
      <c r="I152" s="26" t="s">
        <v>81</v>
      </c>
      <c r="J152" s="26" t="s">
        <v>129</v>
      </c>
    </row>
    <row r="153" ht="15.75" customHeight="1">
      <c r="A153" s="15">
        <v>21.0</v>
      </c>
      <c r="B153" s="24">
        <v>46443.0</v>
      </c>
      <c r="C153" s="15" t="s">
        <v>95</v>
      </c>
      <c r="D153" s="17" t="s">
        <v>238</v>
      </c>
      <c r="E153" s="17" t="s">
        <v>100</v>
      </c>
      <c r="F153" s="15">
        <v>0.0</v>
      </c>
      <c r="G153" s="18" t="s">
        <v>81</v>
      </c>
      <c r="H153" s="18" t="s">
        <v>107</v>
      </c>
      <c r="I153" s="18" t="s">
        <v>261</v>
      </c>
      <c r="J153" s="18"/>
    </row>
    <row r="154" ht="15.75" customHeight="1">
      <c r="A154" s="9">
        <v>21.0</v>
      </c>
      <c r="B154" s="24">
        <v>46444.0</v>
      </c>
      <c r="C154" s="9" t="s">
        <v>109</v>
      </c>
      <c r="D154" s="14" t="s">
        <v>238</v>
      </c>
      <c r="E154" s="14" t="s">
        <v>73</v>
      </c>
      <c r="F154" s="9">
        <v>25.0</v>
      </c>
      <c r="G154" s="13" t="s">
        <v>110</v>
      </c>
      <c r="H154" s="13" t="s">
        <v>262</v>
      </c>
      <c r="I154" s="13" t="s">
        <v>81</v>
      </c>
      <c r="J154" s="13" t="s">
        <v>134</v>
      </c>
    </row>
    <row r="155" ht="15.75" customHeight="1">
      <c r="A155" s="19">
        <v>21.0</v>
      </c>
      <c r="B155" s="24">
        <v>46445.0</v>
      </c>
      <c r="C155" s="19" t="s">
        <v>112</v>
      </c>
      <c r="D155" s="21" t="s">
        <v>238</v>
      </c>
      <c r="E155" s="21" t="s">
        <v>113</v>
      </c>
      <c r="F155" s="19">
        <v>60.0</v>
      </c>
      <c r="G155" s="22" t="s">
        <v>76</v>
      </c>
      <c r="H155" s="22" t="s">
        <v>135</v>
      </c>
      <c r="I155" s="22" t="s">
        <v>81</v>
      </c>
      <c r="J155" s="22"/>
    </row>
    <row r="156" ht="15.75" customHeight="1">
      <c r="A156" s="15">
        <v>22.0</v>
      </c>
      <c r="B156" s="24">
        <v>46446.0</v>
      </c>
      <c r="C156" s="15" t="s">
        <v>116</v>
      </c>
      <c r="D156" s="17" t="s">
        <v>278</v>
      </c>
      <c r="E156" s="17" t="s">
        <v>100</v>
      </c>
      <c r="F156" s="15">
        <v>0.0</v>
      </c>
      <c r="G156" s="18" t="s">
        <v>81</v>
      </c>
      <c r="H156" s="18" t="s">
        <v>117</v>
      </c>
      <c r="I156" s="18" t="s">
        <v>279</v>
      </c>
      <c r="J156" s="18"/>
    </row>
    <row r="157" ht="15.75" customHeight="1">
      <c r="A157" s="23">
        <v>22.0</v>
      </c>
      <c r="B157" s="24">
        <v>46447.0</v>
      </c>
      <c r="C157" s="23" t="s">
        <v>119</v>
      </c>
      <c r="D157" s="25" t="s">
        <v>278</v>
      </c>
      <c r="E157" s="25" t="s">
        <v>120</v>
      </c>
      <c r="F157" s="23">
        <v>40.0</v>
      </c>
      <c r="G157" s="26" t="s">
        <v>121</v>
      </c>
      <c r="H157" s="26" t="s">
        <v>280</v>
      </c>
      <c r="I157" s="26" t="s">
        <v>81</v>
      </c>
      <c r="J157" s="26" t="s">
        <v>123</v>
      </c>
    </row>
    <row r="158" ht="15.75" customHeight="1">
      <c r="A158" s="9">
        <v>22.0</v>
      </c>
      <c r="B158" s="24">
        <v>46448.0</v>
      </c>
      <c r="C158" s="9" t="s">
        <v>124</v>
      </c>
      <c r="D158" s="14" t="s">
        <v>278</v>
      </c>
      <c r="E158" s="14" t="s">
        <v>73</v>
      </c>
      <c r="F158" s="9">
        <v>40.0</v>
      </c>
      <c r="G158" s="13" t="s">
        <v>110</v>
      </c>
      <c r="H158" s="13" t="s">
        <v>281</v>
      </c>
      <c r="I158" s="13" t="s">
        <v>282</v>
      </c>
      <c r="J158" s="13"/>
    </row>
    <row r="159" ht="15.75" customHeight="1">
      <c r="A159" s="23">
        <v>22.0</v>
      </c>
      <c r="B159" s="24">
        <v>46449.0</v>
      </c>
      <c r="C159" s="23" t="s">
        <v>68</v>
      </c>
      <c r="D159" s="25" t="s">
        <v>278</v>
      </c>
      <c r="E159" s="25" t="s">
        <v>137</v>
      </c>
      <c r="F159" s="23">
        <v>40.0</v>
      </c>
      <c r="G159" s="26" t="s">
        <v>138</v>
      </c>
      <c r="H159" s="26" t="s">
        <v>283</v>
      </c>
      <c r="I159" s="26" t="s">
        <v>81</v>
      </c>
      <c r="J159" s="26" t="s">
        <v>140</v>
      </c>
    </row>
    <row r="160" ht="15.75" customHeight="1">
      <c r="A160" s="15">
        <v>22.0</v>
      </c>
      <c r="B160" s="24">
        <v>46450.0</v>
      </c>
      <c r="C160" s="15" t="s">
        <v>95</v>
      </c>
      <c r="D160" s="17" t="s">
        <v>278</v>
      </c>
      <c r="E160" s="17" t="s">
        <v>100</v>
      </c>
      <c r="F160" s="15">
        <v>0.0</v>
      </c>
      <c r="G160" s="18" t="s">
        <v>81</v>
      </c>
      <c r="H160" s="18" t="s">
        <v>107</v>
      </c>
      <c r="I160" s="18" t="s">
        <v>284</v>
      </c>
      <c r="J160" s="18"/>
    </row>
    <row r="161" ht="15.75" customHeight="1">
      <c r="A161" s="9">
        <v>22.0</v>
      </c>
      <c r="B161" s="24">
        <v>46451.0</v>
      </c>
      <c r="C161" s="9" t="s">
        <v>109</v>
      </c>
      <c r="D161" s="14" t="s">
        <v>278</v>
      </c>
      <c r="E161" s="14" t="s">
        <v>73</v>
      </c>
      <c r="F161" s="9">
        <v>35.0</v>
      </c>
      <c r="G161" s="13" t="s">
        <v>110</v>
      </c>
      <c r="H161" s="13" t="s">
        <v>241</v>
      </c>
      <c r="I161" s="13" t="s">
        <v>81</v>
      </c>
      <c r="J161" s="13" t="s">
        <v>134</v>
      </c>
    </row>
    <row r="162" ht="15.75" customHeight="1">
      <c r="A162" s="19">
        <v>22.0</v>
      </c>
      <c r="B162" s="24">
        <v>46452.0</v>
      </c>
      <c r="C162" s="19" t="s">
        <v>112</v>
      </c>
      <c r="D162" s="21" t="s">
        <v>278</v>
      </c>
      <c r="E162" s="21" t="s">
        <v>113</v>
      </c>
      <c r="F162" s="19">
        <v>80.0</v>
      </c>
      <c r="G162" s="22" t="s">
        <v>76</v>
      </c>
      <c r="H162" s="22" t="s">
        <v>277</v>
      </c>
      <c r="I162" s="22" t="s">
        <v>81</v>
      </c>
      <c r="J162" s="22" t="s">
        <v>273</v>
      </c>
    </row>
    <row r="163" ht="15.75" customHeight="1">
      <c r="A163" s="15">
        <v>23.0</v>
      </c>
      <c r="B163" s="24">
        <v>46453.0</v>
      </c>
      <c r="C163" s="15" t="s">
        <v>116</v>
      </c>
      <c r="D163" s="17" t="s">
        <v>278</v>
      </c>
      <c r="E163" s="17" t="s">
        <v>100</v>
      </c>
      <c r="F163" s="15">
        <v>0.0</v>
      </c>
      <c r="G163" s="18" t="s">
        <v>81</v>
      </c>
      <c r="H163" s="18" t="s">
        <v>117</v>
      </c>
      <c r="I163" s="18" t="s">
        <v>285</v>
      </c>
      <c r="J163" s="18"/>
    </row>
    <row r="164" ht="15.75" customHeight="1">
      <c r="A164" s="23">
        <v>23.0</v>
      </c>
      <c r="B164" s="24">
        <v>46454.0</v>
      </c>
      <c r="C164" s="23" t="s">
        <v>119</v>
      </c>
      <c r="D164" s="25" t="s">
        <v>278</v>
      </c>
      <c r="E164" s="25" t="s">
        <v>120</v>
      </c>
      <c r="F164" s="23">
        <v>40.0</v>
      </c>
      <c r="G164" s="26" t="s">
        <v>121</v>
      </c>
      <c r="H164" s="26" t="s">
        <v>288</v>
      </c>
      <c r="I164" s="26" t="s">
        <v>81</v>
      </c>
      <c r="J164" s="26" t="s">
        <v>123</v>
      </c>
    </row>
    <row r="165" ht="15.75" customHeight="1">
      <c r="A165" s="9">
        <v>23.0</v>
      </c>
      <c r="B165" s="24">
        <v>46455.0</v>
      </c>
      <c r="C165" s="9" t="s">
        <v>124</v>
      </c>
      <c r="D165" s="14" t="s">
        <v>278</v>
      </c>
      <c r="E165" s="14" t="s">
        <v>73</v>
      </c>
      <c r="F165" s="9">
        <v>40.0</v>
      </c>
      <c r="G165" s="13" t="s">
        <v>76</v>
      </c>
      <c r="H165" s="13" t="s">
        <v>289</v>
      </c>
      <c r="I165" s="13" t="s">
        <v>290</v>
      </c>
      <c r="J165" s="13"/>
    </row>
    <row r="166" ht="15.75" customHeight="1">
      <c r="A166" s="23">
        <v>23.0</v>
      </c>
      <c r="B166" s="24">
        <v>46456.0</v>
      </c>
      <c r="C166" s="23" t="s">
        <v>68</v>
      </c>
      <c r="D166" s="25" t="s">
        <v>278</v>
      </c>
      <c r="E166" s="25" t="s">
        <v>126</v>
      </c>
      <c r="F166" s="23">
        <v>38.0</v>
      </c>
      <c r="G166" s="26" t="s">
        <v>127</v>
      </c>
      <c r="H166" s="26" t="s">
        <v>291</v>
      </c>
      <c r="I166" s="26" t="s">
        <v>81</v>
      </c>
      <c r="J166" s="26" t="s">
        <v>129</v>
      </c>
    </row>
    <row r="167" ht="15.75" customHeight="1">
      <c r="A167" s="15">
        <v>23.0</v>
      </c>
      <c r="B167" s="24">
        <v>46457.0</v>
      </c>
      <c r="C167" s="15" t="s">
        <v>95</v>
      </c>
      <c r="D167" s="17" t="s">
        <v>278</v>
      </c>
      <c r="E167" s="17" t="s">
        <v>100</v>
      </c>
      <c r="F167" s="15">
        <v>0.0</v>
      </c>
      <c r="G167" s="18" t="s">
        <v>81</v>
      </c>
      <c r="H167" s="18" t="s">
        <v>107</v>
      </c>
      <c r="I167" s="18" t="s">
        <v>292</v>
      </c>
      <c r="J167" s="18"/>
    </row>
    <row r="168" ht="15.75" customHeight="1">
      <c r="A168" s="9">
        <v>23.0</v>
      </c>
      <c r="B168" s="24">
        <v>46458.0</v>
      </c>
      <c r="C168" s="9" t="s">
        <v>109</v>
      </c>
      <c r="D168" s="14" t="s">
        <v>278</v>
      </c>
      <c r="E168" s="14" t="s">
        <v>73</v>
      </c>
      <c r="F168" s="9">
        <v>35.0</v>
      </c>
      <c r="G168" s="13" t="s">
        <v>110</v>
      </c>
      <c r="H168" s="13" t="s">
        <v>241</v>
      </c>
      <c r="I168" s="13" t="s">
        <v>81</v>
      </c>
      <c r="J168" s="13" t="s">
        <v>134</v>
      </c>
    </row>
    <row r="169" ht="15.75" customHeight="1">
      <c r="A169" s="19">
        <v>23.0</v>
      </c>
      <c r="B169" s="24">
        <v>46459.0</v>
      </c>
      <c r="C169" s="19" t="s">
        <v>112</v>
      </c>
      <c r="D169" s="21" t="s">
        <v>278</v>
      </c>
      <c r="E169" s="21" t="s">
        <v>113</v>
      </c>
      <c r="F169" s="19">
        <v>85.0</v>
      </c>
      <c r="G169" s="22" t="s">
        <v>76</v>
      </c>
      <c r="H169" s="22" t="s">
        <v>293</v>
      </c>
      <c r="I169" s="22" t="s">
        <v>81</v>
      </c>
      <c r="J169" s="22" t="s">
        <v>273</v>
      </c>
    </row>
    <row r="170" ht="15.75" customHeight="1">
      <c r="A170" s="15">
        <v>24.0</v>
      </c>
      <c r="B170" s="24">
        <v>46460.0</v>
      </c>
      <c r="C170" s="15" t="s">
        <v>116</v>
      </c>
      <c r="D170" s="17" t="s">
        <v>278</v>
      </c>
      <c r="E170" s="17" t="s">
        <v>100</v>
      </c>
      <c r="F170" s="15">
        <v>0.0</v>
      </c>
      <c r="G170" s="18" t="s">
        <v>81</v>
      </c>
      <c r="H170" s="18" t="s">
        <v>117</v>
      </c>
      <c r="I170" s="18" t="s">
        <v>294</v>
      </c>
      <c r="J170" s="18"/>
    </row>
    <row r="171" ht="15.75" customHeight="1">
      <c r="A171" s="23">
        <v>24.0</v>
      </c>
      <c r="B171" s="24">
        <v>46461.0</v>
      </c>
      <c r="C171" s="23" t="s">
        <v>119</v>
      </c>
      <c r="D171" s="25" t="s">
        <v>278</v>
      </c>
      <c r="E171" s="25" t="s">
        <v>120</v>
      </c>
      <c r="F171" s="23">
        <v>40.0</v>
      </c>
      <c r="G171" s="26" t="s">
        <v>121</v>
      </c>
      <c r="H171" s="26" t="s">
        <v>296</v>
      </c>
      <c r="I171" s="26" t="s">
        <v>81</v>
      </c>
      <c r="J171" s="26" t="s">
        <v>123</v>
      </c>
    </row>
    <row r="172" ht="15.75" customHeight="1">
      <c r="A172" s="9">
        <v>24.0</v>
      </c>
      <c r="B172" s="24">
        <v>46462.0</v>
      </c>
      <c r="C172" s="9" t="s">
        <v>124</v>
      </c>
      <c r="D172" s="14" t="s">
        <v>278</v>
      </c>
      <c r="E172" s="14" t="s">
        <v>73</v>
      </c>
      <c r="F172" s="9">
        <v>40.0</v>
      </c>
      <c r="G172" s="13" t="s">
        <v>110</v>
      </c>
      <c r="H172" s="13" t="s">
        <v>281</v>
      </c>
      <c r="I172" s="13" t="s">
        <v>297</v>
      </c>
      <c r="J172" s="13"/>
    </row>
    <row r="173" ht="15.75" customHeight="1">
      <c r="A173" s="23">
        <v>24.0</v>
      </c>
      <c r="B173" s="24">
        <v>46463.0</v>
      </c>
      <c r="C173" s="23" t="s">
        <v>68</v>
      </c>
      <c r="D173" s="25" t="s">
        <v>278</v>
      </c>
      <c r="E173" s="25" t="s">
        <v>137</v>
      </c>
      <c r="F173" s="23">
        <v>40.0</v>
      </c>
      <c r="G173" s="26" t="s">
        <v>138</v>
      </c>
      <c r="H173" s="26" t="s">
        <v>298</v>
      </c>
      <c r="I173" s="26" t="s">
        <v>81</v>
      </c>
      <c r="J173" s="26" t="s">
        <v>140</v>
      </c>
    </row>
    <row r="174" ht="15.75" customHeight="1">
      <c r="A174" s="15">
        <v>24.0</v>
      </c>
      <c r="B174" s="24">
        <v>46464.0</v>
      </c>
      <c r="C174" s="15" t="s">
        <v>95</v>
      </c>
      <c r="D174" s="17" t="s">
        <v>278</v>
      </c>
      <c r="E174" s="17" t="s">
        <v>100</v>
      </c>
      <c r="F174" s="15">
        <v>0.0</v>
      </c>
      <c r="G174" s="18" t="s">
        <v>81</v>
      </c>
      <c r="H174" s="18" t="s">
        <v>107</v>
      </c>
      <c r="I174" s="18" t="s">
        <v>299</v>
      </c>
      <c r="J174" s="18"/>
    </row>
    <row r="175" ht="15.75" customHeight="1">
      <c r="A175" s="9">
        <v>24.0</v>
      </c>
      <c r="B175" s="24">
        <v>46465.0</v>
      </c>
      <c r="C175" s="9" t="s">
        <v>109</v>
      </c>
      <c r="D175" s="14" t="s">
        <v>278</v>
      </c>
      <c r="E175" s="14" t="s">
        <v>73</v>
      </c>
      <c r="F175" s="9">
        <v>35.0</v>
      </c>
      <c r="G175" s="13" t="s">
        <v>110</v>
      </c>
      <c r="H175" s="13" t="s">
        <v>241</v>
      </c>
      <c r="I175" s="13" t="s">
        <v>81</v>
      </c>
      <c r="J175" s="13" t="s">
        <v>134</v>
      </c>
    </row>
    <row r="176" ht="15.75" customHeight="1">
      <c r="A176" s="19">
        <v>24.0</v>
      </c>
      <c r="B176" s="24">
        <v>46466.0</v>
      </c>
      <c r="C176" s="19" t="s">
        <v>112</v>
      </c>
      <c r="D176" s="21" t="s">
        <v>278</v>
      </c>
      <c r="E176" s="21" t="s">
        <v>113</v>
      </c>
      <c r="F176" s="19">
        <v>90.0</v>
      </c>
      <c r="G176" s="22" t="s">
        <v>76</v>
      </c>
      <c r="H176" s="22" t="s">
        <v>300</v>
      </c>
      <c r="I176" s="22" t="s">
        <v>81</v>
      </c>
      <c r="J176" s="22" t="s">
        <v>273</v>
      </c>
    </row>
    <row r="177" ht="15.75" customHeight="1">
      <c r="A177" s="15">
        <v>25.0</v>
      </c>
      <c r="B177" s="24">
        <v>46467.0</v>
      </c>
      <c r="C177" s="15" t="s">
        <v>116</v>
      </c>
      <c r="D177" s="17" t="s">
        <v>278</v>
      </c>
      <c r="E177" s="17" t="s">
        <v>100</v>
      </c>
      <c r="F177" s="15">
        <v>0.0</v>
      </c>
      <c r="G177" s="18" t="s">
        <v>81</v>
      </c>
      <c r="H177" s="18" t="s">
        <v>117</v>
      </c>
      <c r="I177" s="18" t="s">
        <v>301</v>
      </c>
      <c r="J177" s="18"/>
    </row>
    <row r="178" ht="15.75" customHeight="1">
      <c r="A178" s="23">
        <v>25.0</v>
      </c>
      <c r="B178" s="24">
        <v>46468.0</v>
      </c>
      <c r="C178" s="23" t="s">
        <v>119</v>
      </c>
      <c r="D178" s="25" t="s">
        <v>278</v>
      </c>
      <c r="E178" s="25" t="s">
        <v>169</v>
      </c>
      <c r="F178" s="23">
        <v>35.0</v>
      </c>
      <c r="G178" s="26" t="s">
        <v>121</v>
      </c>
      <c r="H178" s="26" t="s">
        <v>258</v>
      </c>
      <c r="I178" s="26" t="s">
        <v>81</v>
      </c>
      <c r="J178" s="26" t="s">
        <v>123</v>
      </c>
    </row>
    <row r="179" ht="15.75" customHeight="1">
      <c r="A179" s="9">
        <v>25.0</v>
      </c>
      <c r="B179" s="24">
        <v>46469.0</v>
      </c>
      <c r="C179" s="9" t="s">
        <v>124</v>
      </c>
      <c r="D179" s="14" t="s">
        <v>278</v>
      </c>
      <c r="E179" s="14" t="s">
        <v>73</v>
      </c>
      <c r="F179" s="9">
        <v>35.0</v>
      </c>
      <c r="G179" s="13" t="s">
        <v>76</v>
      </c>
      <c r="H179" s="13" t="s">
        <v>247</v>
      </c>
      <c r="I179" s="13" t="s">
        <v>302</v>
      </c>
      <c r="J179" s="13"/>
    </row>
    <row r="180" ht="15.75" customHeight="1">
      <c r="A180" s="23">
        <v>25.0</v>
      </c>
      <c r="B180" s="24">
        <v>46470.0</v>
      </c>
      <c r="C180" s="23" t="s">
        <v>68</v>
      </c>
      <c r="D180" s="25" t="s">
        <v>278</v>
      </c>
      <c r="E180" s="25" t="s">
        <v>126</v>
      </c>
      <c r="F180" s="23">
        <v>38.0</v>
      </c>
      <c r="G180" s="26" t="s">
        <v>127</v>
      </c>
      <c r="H180" s="26" t="s">
        <v>303</v>
      </c>
      <c r="I180" s="26" t="s">
        <v>81</v>
      </c>
      <c r="J180" s="26" t="s">
        <v>129</v>
      </c>
    </row>
    <row r="181" ht="15.75" customHeight="1">
      <c r="A181" s="15">
        <v>25.0</v>
      </c>
      <c r="B181" s="24">
        <v>46471.0</v>
      </c>
      <c r="C181" s="15" t="s">
        <v>95</v>
      </c>
      <c r="D181" s="17" t="s">
        <v>278</v>
      </c>
      <c r="E181" s="17" t="s">
        <v>100</v>
      </c>
      <c r="F181" s="15">
        <v>0.0</v>
      </c>
      <c r="G181" s="18" t="s">
        <v>81</v>
      </c>
      <c r="H181" s="18" t="s">
        <v>107</v>
      </c>
      <c r="I181" s="18" t="s">
        <v>304</v>
      </c>
      <c r="J181" s="18"/>
    </row>
    <row r="182" ht="15.75" customHeight="1">
      <c r="A182" s="9">
        <v>25.0</v>
      </c>
      <c r="B182" s="24">
        <v>46472.0</v>
      </c>
      <c r="C182" s="9" t="s">
        <v>109</v>
      </c>
      <c r="D182" s="14" t="s">
        <v>278</v>
      </c>
      <c r="E182" s="14" t="s">
        <v>73</v>
      </c>
      <c r="F182" s="9">
        <v>30.0</v>
      </c>
      <c r="G182" s="13" t="s">
        <v>110</v>
      </c>
      <c r="H182" s="13" t="s">
        <v>235</v>
      </c>
      <c r="I182" s="13" t="s">
        <v>81</v>
      </c>
      <c r="J182" s="13" t="s">
        <v>134</v>
      </c>
    </row>
    <row r="183" ht="15.75" customHeight="1">
      <c r="A183" s="19">
        <v>25.0</v>
      </c>
      <c r="B183" s="24">
        <v>46473.0</v>
      </c>
      <c r="C183" s="19" t="s">
        <v>112</v>
      </c>
      <c r="D183" s="21" t="s">
        <v>278</v>
      </c>
      <c r="E183" s="21" t="s">
        <v>113</v>
      </c>
      <c r="F183" s="19">
        <v>65.0</v>
      </c>
      <c r="G183" s="22" t="s">
        <v>76</v>
      </c>
      <c r="H183" s="22" t="s">
        <v>161</v>
      </c>
      <c r="I183" s="22" t="s">
        <v>81</v>
      </c>
      <c r="J183" s="22"/>
    </row>
    <row r="184" ht="15.75" customHeight="1">
      <c r="A184" s="15">
        <v>26.0</v>
      </c>
      <c r="B184" s="24">
        <v>46474.0</v>
      </c>
      <c r="C184" s="15" t="s">
        <v>116</v>
      </c>
      <c r="D184" s="17" t="s">
        <v>278</v>
      </c>
      <c r="E184" s="17" t="s">
        <v>100</v>
      </c>
      <c r="F184" s="15">
        <v>0.0</v>
      </c>
      <c r="G184" s="18" t="s">
        <v>81</v>
      </c>
      <c r="H184" s="18" t="s">
        <v>117</v>
      </c>
      <c r="I184" s="18" t="s">
        <v>279</v>
      </c>
      <c r="J184" s="18"/>
    </row>
    <row r="185" ht="15.75" customHeight="1">
      <c r="A185" s="23">
        <v>26.0</v>
      </c>
      <c r="B185" s="24">
        <v>46475.0</v>
      </c>
      <c r="C185" s="23" t="s">
        <v>119</v>
      </c>
      <c r="D185" s="25" t="s">
        <v>278</v>
      </c>
      <c r="E185" s="25" t="s">
        <v>120</v>
      </c>
      <c r="F185" s="23">
        <v>40.0</v>
      </c>
      <c r="G185" s="26" t="s">
        <v>121</v>
      </c>
      <c r="H185" s="26" t="s">
        <v>280</v>
      </c>
      <c r="I185" s="26" t="s">
        <v>81</v>
      </c>
      <c r="J185" s="26" t="s">
        <v>305</v>
      </c>
    </row>
    <row r="186" ht="15.75" customHeight="1">
      <c r="A186" s="9">
        <v>26.0</v>
      </c>
      <c r="B186" s="24">
        <v>46476.0</v>
      </c>
      <c r="C186" s="9" t="s">
        <v>124</v>
      </c>
      <c r="D186" s="14" t="s">
        <v>278</v>
      </c>
      <c r="E186" s="14" t="s">
        <v>73</v>
      </c>
      <c r="F186" s="9">
        <v>40.0</v>
      </c>
      <c r="G186" s="13" t="s">
        <v>110</v>
      </c>
      <c r="H186" s="13" t="s">
        <v>281</v>
      </c>
      <c r="I186" s="13" t="s">
        <v>282</v>
      </c>
      <c r="J186" s="13"/>
    </row>
    <row r="187" ht="15.75" customHeight="1">
      <c r="A187" s="23">
        <v>26.0</v>
      </c>
      <c r="B187" s="24">
        <v>46477.0</v>
      </c>
      <c r="C187" s="23" t="s">
        <v>68</v>
      </c>
      <c r="D187" s="25" t="s">
        <v>278</v>
      </c>
      <c r="E187" s="25" t="s">
        <v>137</v>
      </c>
      <c r="F187" s="23">
        <v>40.0</v>
      </c>
      <c r="G187" s="26" t="s">
        <v>138</v>
      </c>
      <c r="H187" s="26" t="s">
        <v>306</v>
      </c>
      <c r="I187" s="26" t="s">
        <v>81</v>
      </c>
      <c r="J187" s="26" t="s">
        <v>140</v>
      </c>
    </row>
    <row r="188" ht="15.75" customHeight="1">
      <c r="A188" s="15">
        <v>26.0</v>
      </c>
      <c r="B188" s="24">
        <v>46478.0</v>
      </c>
      <c r="C188" s="15" t="s">
        <v>95</v>
      </c>
      <c r="D188" s="17" t="s">
        <v>278</v>
      </c>
      <c r="E188" s="17" t="s">
        <v>100</v>
      </c>
      <c r="F188" s="15">
        <v>0.0</v>
      </c>
      <c r="G188" s="18" t="s">
        <v>81</v>
      </c>
      <c r="H188" s="18" t="s">
        <v>107</v>
      </c>
      <c r="I188" s="18" t="s">
        <v>284</v>
      </c>
      <c r="J188" s="18"/>
    </row>
    <row r="189" ht="15.75" customHeight="1">
      <c r="A189" s="9">
        <v>26.0</v>
      </c>
      <c r="B189" s="24">
        <v>46479.0</v>
      </c>
      <c r="C189" s="9" t="s">
        <v>109</v>
      </c>
      <c r="D189" s="14" t="s">
        <v>278</v>
      </c>
      <c r="E189" s="14" t="s">
        <v>73</v>
      </c>
      <c r="F189" s="9">
        <v>35.0</v>
      </c>
      <c r="G189" s="13" t="s">
        <v>110</v>
      </c>
      <c r="H189" s="13" t="s">
        <v>241</v>
      </c>
      <c r="I189" s="13" t="s">
        <v>81</v>
      </c>
      <c r="J189" s="13" t="s">
        <v>134</v>
      </c>
    </row>
    <row r="190" ht="15.75" customHeight="1">
      <c r="A190" s="19">
        <v>26.0</v>
      </c>
      <c r="B190" s="24">
        <v>46480.0</v>
      </c>
      <c r="C190" s="19" t="s">
        <v>112</v>
      </c>
      <c r="D190" s="21" t="s">
        <v>278</v>
      </c>
      <c r="E190" s="21" t="s">
        <v>113</v>
      </c>
      <c r="F190" s="19">
        <v>80.0</v>
      </c>
      <c r="G190" s="22" t="s">
        <v>76</v>
      </c>
      <c r="H190" s="22" t="s">
        <v>277</v>
      </c>
      <c r="I190" s="22" t="s">
        <v>81</v>
      </c>
      <c r="J190" s="22" t="s">
        <v>273</v>
      </c>
    </row>
    <row r="191" ht="15.75" customHeight="1">
      <c r="A191" s="15">
        <v>27.0</v>
      </c>
      <c r="B191" s="24">
        <v>46481.0</v>
      </c>
      <c r="C191" s="15" t="s">
        <v>116</v>
      </c>
      <c r="D191" s="17" t="s">
        <v>278</v>
      </c>
      <c r="E191" s="17" t="s">
        <v>100</v>
      </c>
      <c r="F191" s="15">
        <v>0.0</v>
      </c>
      <c r="G191" s="18" t="s">
        <v>81</v>
      </c>
      <c r="H191" s="18" t="s">
        <v>117</v>
      </c>
      <c r="I191" s="18" t="s">
        <v>285</v>
      </c>
      <c r="J191" s="18"/>
    </row>
    <row r="192" ht="15.75" customHeight="1">
      <c r="A192" s="23">
        <v>27.0</v>
      </c>
      <c r="B192" s="24">
        <v>46482.0</v>
      </c>
      <c r="C192" s="23" t="s">
        <v>119</v>
      </c>
      <c r="D192" s="25" t="s">
        <v>278</v>
      </c>
      <c r="E192" s="25" t="s">
        <v>120</v>
      </c>
      <c r="F192" s="23">
        <v>40.0</v>
      </c>
      <c r="G192" s="26" t="s">
        <v>121</v>
      </c>
      <c r="H192" s="26" t="s">
        <v>288</v>
      </c>
      <c r="I192" s="26" t="s">
        <v>81</v>
      </c>
      <c r="J192" s="26" t="s">
        <v>305</v>
      </c>
    </row>
    <row r="193" ht="15.75" customHeight="1">
      <c r="A193" s="9">
        <v>27.0</v>
      </c>
      <c r="B193" s="24">
        <v>46483.0</v>
      </c>
      <c r="C193" s="9" t="s">
        <v>124</v>
      </c>
      <c r="D193" s="14" t="s">
        <v>278</v>
      </c>
      <c r="E193" s="14" t="s">
        <v>73</v>
      </c>
      <c r="F193" s="9">
        <v>40.0</v>
      </c>
      <c r="G193" s="13" t="s">
        <v>76</v>
      </c>
      <c r="H193" s="13" t="s">
        <v>289</v>
      </c>
      <c r="I193" s="13" t="s">
        <v>290</v>
      </c>
      <c r="J193" s="13"/>
    </row>
    <row r="194" ht="15.75" customHeight="1">
      <c r="A194" s="23">
        <v>27.0</v>
      </c>
      <c r="B194" s="24">
        <v>46484.0</v>
      </c>
      <c r="C194" s="23" t="s">
        <v>68</v>
      </c>
      <c r="D194" s="25" t="s">
        <v>278</v>
      </c>
      <c r="E194" s="25" t="s">
        <v>126</v>
      </c>
      <c r="F194" s="23">
        <v>38.0</v>
      </c>
      <c r="G194" s="26" t="s">
        <v>127</v>
      </c>
      <c r="H194" s="26" t="s">
        <v>307</v>
      </c>
      <c r="I194" s="26" t="s">
        <v>81</v>
      </c>
      <c r="J194" s="26" t="s">
        <v>129</v>
      </c>
    </row>
    <row r="195" ht="15.75" customHeight="1">
      <c r="A195" s="15">
        <v>27.0</v>
      </c>
      <c r="B195" s="24">
        <v>46485.0</v>
      </c>
      <c r="C195" s="15" t="s">
        <v>95</v>
      </c>
      <c r="D195" s="17" t="s">
        <v>278</v>
      </c>
      <c r="E195" s="17" t="s">
        <v>100</v>
      </c>
      <c r="F195" s="15">
        <v>0.0</v>
      </c>
      <c r="G195" s="18" t="s">
        <v>81</v>
      </c>
      <c r="H195" s="18" t="s">
        <v>107</v>
      </c>
      <c r="I195" s="18" t="s">
        <v>292</v>
      </c>
      <c r="J195" s="18"/>
    </row>
    <row r="196" ht="15.75" customHeight="1">
      <c r="A196" s="9">
        <v>27.0</v>
      </c>
      <c r="B196" s="24">
        <v>46486.0</v>
      </c>
      <c r="C196" s="9" t="s">
        <v>109</v>
      </c>
      <c r="D196" s="14" t="s">
        <v>278</v>
      </c>
      <c r="E196" s="14" t="s">
        <v>73</v>
      </c>
      <c r="F196" s="9">
        <v>35.0</v>
      </c>
      <c r="G196" s="13" t="s">
        <v>110</v>
      </c>
      <c r="H196" s="13" t="s">
        <v>241</v>
      </c>
      <c r="I196" s="13" t="s">
        <v>81</v>
      </c>
      <c r="J196" s="13" t="s">
        <v>134</v>
      </c>
    </row>
    <row r="197" ht="15.75" customHeight="1">
      <c r="A197" s="19">
        <v>27.0</v>
      </c>
      <c r="B197" s="24">
        <v>46487.0</v>
      </c>
      <c r="C197" s="19" t="s">
        <v>112</v>
      </c>
      <c r="D197" s="21" t="s">
        <v>278</v>
      </c>
      <c r="E197" s="21" t="s">
        <v>113</v>
      </c>
      <c r="F197" s="19">
        <v>90.0</v>
      </c>
      <c r="G197" s="22" t="s">
        <v>76</v>
      </c>
      <c r="H197" s="22" t="s">
        <v>300</v>
      </c>
      <c r="I197" s="22" t="s">
        <v>81</v>
      </c>
      <c r="J197" s="22" t="s">
        <v>273</v>
      </c>
    </row>
    <row r="198" ht="15.75" customHeight="1">
      <c r="A198" s="15">
        <v>28.0</v>
      </c>
      <c r="B198" s="24">
        <v>46488.0</v>
      </c>
      <c r="C198" s="15" t="s">
        <v>116</v>
      </c>
      <c r="D198" s="17" t="s">
        <v>278</v>
      </c>
      <c r="E198" s="17" t="s">
        <v>100</v>
      </c>
      <c r="F198" s="15">
        <v>0.0</v>
      </c>
      <c r="G198" s="18" t="s">
        <v>81</v>
      </c>
      <c r="H198" s="18" t="s">
        <v>117</v>
      </c>
      <c r="I198" s="18" t="s">
        <v>294</v>
      </c>
      <c r="J198" s="18"/>
    </row>
    <row r="199" ht="15.75" customHeight="1">
      <c r="A199" s="23">
        <v>28.0</v>
      </c>
      <c r="B199" s="24">
        <v>46489.0</v>
      </c>
      <c r="C199" s="23" t="s">
        <v>119</v>
      </c>
      <c r="D199" s="25" t="s">
        <v>278</v>
      </c>
      <c r="E199" s="25" t="s">
        <v>120</v>
      </c>
      <c r="F199" s="23">
        <v>40.0</v>
      </c>
      <c r="G199" s="26" t="s">
        <v>121</v>
      </c>
      <c r="H199" s="26" t="s">
        <v>308</v>
      </c>
      <c r="I199" s="26" t="s">
        <v>81</v>
      </c>
      <c r="J199" s="26" t="s">
        <v>305</v>
      </c>
    </row>
    <row r="200" ht="15.75" customHeight="1">
      <c r="A200" s="9">
        <v>28.0</v>
      </c>
      <c r="B200" s="24">
        <v>46490.0</v>
      </c>
      <c r="C200" s="9" t="s">
        <v>124</v>
      </c>
      <c r="D200" s="14" t="s">
        <v>278</v>
      </c>
      <c r="E200" s="14" t="s">
        <v>73</v>
      </c>
      <c r="F200" s="9">
        <v>40.0</v>
      </c>
      <c r="G200" s="13" t="s">
        <v>110</v>
      </c>
      <c r="H200" s="13" t="s">
        <v>281</v>
      </c>
      <c r="I200" s="13" t="s">
        <v>297</v>
      </c>
      <c r="J200" s="13"/>
    </row>
    <row r="201" ht="15.75" customHeight="1">
      <c r="A201" s="23">
        <v>28.0</v>
      </c>
      <c r="B201" s="24">
        <v>46491.0</v>
      </c>
      <c r="C201" s="23" t="s">
        <v>68</v>
      </c>
      <c r="D201" s="25" t="s">
        <v>278</v>
      </c>
      <c r="E201" s="25" t="s">
        <v>137</v>
      </c>
      <c r="F201" s="23">
        <v>38.0</v>
      </c>
      <c r="G201" s="26" t="s">
        <v>138</v>
      </c>
      <c r="H201" s="26" t="s">
        <v>310</v>
      </c>
      <c r="I201" s="26" t="s">
        <v>81</v>
      </c>
      <c r="J201" s="26" t="s">
        <v>140</v>
      </c>
    </row>
    <row r="202" ht="15.75" customHeight="1">
      <c r="A202" s="15">
        <v>28.0</v>
      </c>
      <c r="B202" s="24">
        <v>46492.0</v>
      </c>
      <c r="C202" s="15" t="s">
        <v>95</v>
      </c>
      <c r="D202" s="17" t="s">
        <v>278</v>
      </c>
      <c r="E202" s="17" t="s">
        <v>100</v>
      </c>
      <c r="F202" s="15">
        <v>0.0</v>
      </c>
      <c r="G202" s="18" t="s">
        <v>81</v>
      </c>
      <c r="H202" s="18" t="s">
        <v>107</v>
      </c>
      <c r="I202" s="18" t="s">
        <v>299</v>
      </c>
      <c r="J202" s="18"/>
    </row>
    <row r="203" ht="15.75" customHeight="1">
      <c r="A203" s="9">
        <v>28.0</v>
      </c>
      <c r="B203" s="24">
        <v>46493.0</v>
      </c>
      <c r="C203" s="9" t="s">
        <v>109</v>
      </c>
      <c r="D203" s="14" t="s">
        <v>278</v>
      </c>
      <c r="E203" s="14" t="s">
        <v>73</v>
      </c>
      <c r="F203" s="9">
        <v>35.0</v>
      </c>
      <c r="G203" s="13" t="s">
        <v>110</v>
      </c>
      <c r="H203" s="13" t="s">
        <v>241</v>
      </c>
      <c r="I203" s="13" t="s">
        <v>81</v>
      </c>
      <c r="J203" s="13" t="s">
        <v>134</v>
      </c>
    </row>
    <row r="204" ht="15.75" customHeight="1">
      <c r="A204" s="19">
        <v>28.0</v>
      </c>
      <c r="B204" s="24">
        <v>46494.0</v>
      </c>
      <c r="C204" s="19" t="s">
        <v>112</v>
      </c>
      <c r="D204" s="21" t="s">
        <v>278</v>
      </c>
      <c r="E204" s="21" t="s">
        <v>113</v>
      </c>
      <c r="F204" s="19">
        <v>85.0</v>
      </c>
      <c r="G204" s="22" t="s">
        <v>76</v>
      </c>
      <c r="H204" s="22" t="s">
        <v>293</v>
      </c>
      <c r="I204" s="22" t="s">
        <v>81</v>
      </c>
      <c r="J204" s="22" t="s">
        <v>273</v>
      </c>
    </row>
    <row r="205" ht="15.75" customHeight="1">
      <c r="A205" s="15">
        <v>29.0</v>
      </c>
      <c r="B205" s="24">
        <v>46495.0</v>
      </c>
      <c r="C205" s="15" t="s">
        <v>116</v>
      </c>
      <c r="D205" s="17" t="s">
        <v>278</v>
      </c>
      <c r="E205" s="17" t="s">
        <v>100</v>
      </c>
      <c r="F205" s="15">
        <v>0.0</v>
      </c>
      <c r="G205" s="18" t="s">
        <v>81</v>
      </c>
      <c r="H205" s="18" t="s">
        <v>117</v>
      </c>
      <c r="I205" s="18" t="s">
        <v>311</v>
      </c>
      <c r="J205" s="18"/>
    </row>
    <row r="206" ht="15.75" customHeight="1">
      <c r="A206" s="23">
        <v>29.0</v>
      </c>
      <c r="B206" s="24">
        <v>46496.0</v>
      </c>
      <c r="C206" s="23" t="s">
        <v>119</v>
      </c>
      <c r="D206" s="25" t="s">
        <v>278</v>
      </c>
      <c r="E206" s="25" t="s">
        <v>169</v>
      </c>
      <c r="F206" s="23">
        <v>32.0</v>
      </c>
      <c r="G206" s="26" t="s">
        <v>121</v>
      </c>
      <c r="H206" s="26" t="s">
        <v>170</v>
      </c>
      <c r="I206" s="26" t="s">
        <v>81</v>
      </c>
      <c r="J206" s="26" t="s">
        <v>123</v>
      </c>
    </row>
    <row r="207" ht="15.75" customHeight="1">
      <c r="A207" s="9">
        <v>29.0</v>
      </c>
      <c r="B207" s="24">
        <v>46497.0</v>
      </c>
      <c r="C207" s="9" t="s">
        <v>124</v>
      </c>
      <c r="D207" s="14" t="s">
        <v>278</v>
      </c>
      <c r="E207" s="14" t="s">
        <v>73</v>
      </c>
      <c r="F207" s="9">
        <v>35.0</v>
      </c>
      <c r="G207" s="13" t="s">
        <v>76</v>
      </c>
      <c r="H207" s="13" t="s">
        <v>247</v>
      </c>
      <c r="I207" s="13" t="s">
        <v>312</v>
      </c>
      <c r="J207" s="13"/>
    </row>
    <row r="208" ht="15.75" customHeight="1">
      <c r="A208" s="9">
        <v>29.0</v>
      </c>
      <c r="B208" s="24">
        <v>46498.0</v>
      </c>
      <c r="C208" s="9" t="s">
        <v>68</v>
      </c>
      <c r="D208" s="14" t="s">
        <v>278</v>
      </c>
      <c r="E208" s="14" t="s">
        <v>73</v>
      </c>
      <c r="F208" s="9">
        <v>30.0</v>
      </c>
      <c r="G208" s="13" t="s">
        <v>110</v>
      </c>
      <c r="H208" s="13" t="s">
        <v>111</v>
      </c>
      <c r="I208" s="13" t="s">
        <v>81</v>
      </c>
      <c r="J208" s="13" t="s">
        <v>313</v>
      </c>
    </row>
    <row r="209" ht="15.75" customHeight="1">
      <c r="A209" s="15">
        <v>29.0</v>
      </c>
      <c r="B209" s="24">
        <v>46499.0</v>
      </c>
      <c r="C209" s="15" t="s">
        <v>95</v>
      </c>
      <c r="D209" s="17" t="s">
        <v>278</v>
      </c>
      <c r="E209" s="17" t="s">
        <v>229</v>
      </c>
      <c r="F209" s="15">
        <v>0.0</v>
      </c>
      <c r="G209" s="18" t="s">
        <v>81</v>
      </c>
      <c r="H209" s="18" t="s">
        <v>314</v>
      </c>
      <c r="I209" s="18" t="s">
        <v>81</v>
      </c>
      <c r="J209" s="18"/>
    </row>
    <row r="210" ht="15.75" customHeight="1">
      <c r="A210" s="37">
        <v>29.0</v>
      </c>
      <c r="B210" s="24">
        <v>46500.0</v>
      </c>
      <c r="C210" s="37" t="s">
        <v>109</v>
      </c>
      <c r="D210" s="38" t="s">
        <v>278</v>
      </c>
      <c r="E210" s="38" t="s">
        <v>315</v>
      </c>
      <c r="F210" s="37">
        <v>40.0</v>
      </c>
      <c r="G210" s="39" t="s">
        <v>266</v>
      </c>
      <c r="H210" s="39" t="s">
        <v>316</v>
      </c>
      <c r="I210" s="39" t="s">
        <v>81</v>
      </c>
      <c r="J210" s="39" t="s">
        <v>317</v>
      </c>
    </row>
    <row r="211" ht="15.75" customHeight="1">
      <c r="A211" s="19">
        <v>29.0</v>
      </c>
      <c r="B211" s="24">
        <v>46501.0</v>
      </c>
      <c r="C211" s="19" t="s">
        <v>112</v>
      </c>
      <c r="D211" s="21" t="s">
        <v>278</v>
      </c>
      <c r="E211" s="21" t="s">
        <v>113</v>
      </c>
      <c r="F211" s="19">
        <v>50.0</v>
      </c>
      <c r="G211" s="22" t="s">
        <v>76</v>
      </c>
      <c r="H211" s="22" t="s">
        <v>224</v>
      </c>
      <c r="I211" s="22" t="s">
        <v>81</v>
      </c>
      <c r="J211" s="22" t="s">
        <v>318</v>
      </c>
    </row>
    <row r="212" ht="15.75" customHeight="1">
      <c r="A212" s="15">
        <v>30.0</v>
      </c>
      <c r="B212" s="24">
        <v>46502.0</v>
      </c>
      <c r="C212" s="15" t="s">
        <v>116</v>
      </c>
      <c r="D212" s="17" t="s">
        <v>319</v>
      </c>
      <c r="E212" s="17" t="s">
        <v>100</v>
      </c>
      <c r="F212" s="15">
        <v>0.0</v>
      </c>
      <c r="G212" s="18" t="s">
        <v>81</v>
      </c>
      <c r="H212" s="18" t="s">
        <v>117</v>
      </c>
      <c r="I212" s="18" t="s">
        <v>320</v>
      </c>
      <c r="J212" s="18"/>
    </row>
    <row r="213" ht="15.75" customHeight="1">
      <c r="A213" s="23">
        <v>30.0</v>
      </c>
      <c r="B213" s="24">
        <v>46503.0</v>
      </c>
      <c r="C213" s="23" t="s">
        <v>119</v>
      </c>
      <c r="D213" s="25" t="s">
        <v>319</v>
      </c>
      <c r="E213" s="25" t="s">
        <v>120</v>
      </c>
      <c r="F213" s="23">
        <v>40.0</v>
      </c>
      <c r="G213" s="26" t="s">
        <v>121</v>
      </c>
      <c r="H213" s="26" t="s">
        <v>280</v>
      </c>
      <c r="I213" s="26" t="s">
        <v>81</v>
      </c>
      <c r="J213" s="26" t="s">
        <v>305</v>
      </c>
    </row>
    <row r="214" ht="15.75" customHeight="1">
      <c r="A214" s="9">
        <v>30.0</v>
      </c>
      <c r="B214" s="24">
        <v>46504.0</v>
      </c>
      <c r="C214" s="9" t="s">
        <v>124</v>
      </c>
      <c r="D214" s="14" t="s">
        <v>319</v>
      </c>
      <c r="E214" s="14" t="s">
        <v>73</v>
      </c>
      <c r="F214" s="9">
        <v>40.0</v>
      </c>
      <c r="G214" s="13" t="s">
        <v>110</v>
      </c>
      <c r="H214" s="13" t="s">
        <v>281</v>
      </c>
      <c r="I214" s="13" t="s">
        <v>321</v>
      </c>
      <c r="J214" s="13"/>
    </row>
    <row r="215" ht="15.75" customHeight="1">
      <c r="A215" s="23">
        <v>30.0</v>
      </c>
      <c r="B215" s="24">
        <v>46505.0</v>
      </c>
      <c r="C215" s="23" t="s">
        <v>68</v>
      </c>
      <c r="D215" s="25" t="s">
        <v>319</v>
      </c>
      <c r="E215" s="25" t="s">
        <v>137</v>
      </c>
      <c r="F215" s="23">
        <v>40.0</v>
      </c>
      <c r="G215" s="26" t="s">
        <v>138</v>
      </c>
      <c r="H215" s="26" t="s">
        <v>283</v>
      </c>
      <c r="I215" s="26" t="s">
        <v>81</v>
      </c>
      <c r="J215" s="26" t="s">
        <v>140</v>
      </c>
    </row>
    <row r="216" ht="15.75" customHeight="1">
      <c r="A216" s="15">
        <v>30.0</v>
      </c>
      <c r="B216" s="24">
        <v>46506.0</v>
      </c>
      <c r="C216" s="15" t="s">
        <v>95</v>
      </c>
      <c r="D216" s="17" t="s">
        <v>319</v>
      </c>
      <c r="E216" s="17" t="s">
        <v>100</v>
      </c>
      <c r="F216" s="15">
        <v>0.0</v>
      </c>
      <c r="G216" s="18" t="s">
        <v>81</v>
      </c>
      <c r="H216" s="18" t="s">
        <v>107</v>
      </c>
      <c r="I216" s="18" t="s">
        <v>322</v>
      </c>
      <c r="J216" s="18"/>
    </row>
    <row r="217" ht="15.75" customHeight="1">
      <c r="A217" s="9">
        <v>30.0</v>
      </c>
      <c r="B217" s="24">
        <v>46507.0</v>
      </c>
      <c r="C217" s="9" t="s">
        <v>109</v>
      </c>
      <c r="D217" s="14" t="s">
        <v>319</v>
      </c>
      <c r="E217" s="14" t="s">
        <v>73</v>
      </c>
      <c r="F217" s="9">
        <v>35.0</v>
      </c>
      <c r="G217" s="13" t="s">
        <v>110</v>
      </c>
      <c r="H217" s="13" t="s">
        <v>241</v>
      </c>
      <c r="I217" s="13" t="s">
        <v>81</v>
      </c>
      <c r="J217" s="13" t="s">
        <v>134</v>
      </c>
    </row>
    <row r="218" ht="15.75" customHeight="1">
      <c r="A218" s="19">
        <v>30.0</v>
      </c>
      <c r="B218" s="24">
        <v>46508.0</v>
      </c>
      <c r="C218" s="19" t="s">
        <v>112</v>
      </c>
      <c r="D218" s="21" t="s">
        <v>319</v>
      </c>
      <c r="E218" s="21" t="s">
        <v>113</v>
      </c>
      <c r="F218" s="19">
        <v>85.0</v>
      </c>
      <c r="G218" s="22" t="s">
        <v>76</v>
      </c>
      <c r="H218" s="22" t="s">
        <v>293</v>
      </c>
      <c r="I218" s="22" t="s">
        <v>81</v>
      </c>
      <c r="J218" s="22" t="s">
        <v>273</v>
      </c>
    </row>
    <row r="219" ht="15.75" customHeight="1">
      <c r="A219" s="15">
        <v>31.0</v>
      </c>
      <c r="B219" s="24">
        <v>46509.0</v>
      </c>
      <c r="C219" s="15" t="s">
        <v>116</v>
      </c>
      <c r="D219" s="17" t="s">
        <v>319</v>
      </c>
      <c r="E219" s="17" t="s">
        <v>100</v>
      </c>
      <c r="F219" s="15">
        <v>0.0</v>
      </c>
      <c r="G219" s="18" t="s">
        <v>81</v>
      </c>
      <c r="H219" s="18" t="s">
        <v>117</v>
      </c>
      <c r="I219" s="18" t="s">
        <v>323</v>
      </c>
      <c r="J219" s="18"/>
    </row>
    <row r="220" ht="15.75" customHeight="1">
      <c r="A220" s="23">
        <v>31.0</v>
      </c>
      <c r="B220" s="24">
        <v>46510.0</v>
      </c>
      <c r="C220" s="23" t="s">
        <v>119</v>
      </c>
      <c r="D220" s="25" t="s">
        <v>319</v>
      </c>
      <c r="E220" s="25" t="s">
        <v>120</v>
      </c>
      <c r="F220" s="23">
        <v>40.0</v>
      </c>
      <c r="G220" s="26" t="s">
        <v>121</v>
      </c>
      <c r="H220" s="26" t="s">
        <v>288</v>
      </c>
      <c r="I220" s="26" t="s">
        <v>81</v>
      </c>
      <c r="J220" s="26" t="s">
        <v>305</v>
      </c>
    </row>
    <row r="221" ht="15.75" customHeight="1">
      <c r="A221" s="9">
        <v>31.0</v>
      </c>
      <c r="B221" s="24">
        <v>46511.0</v>
      </c>
      <c r="C221" s="9" t="s">
        <v>124</v>
      </c>
      <c r="D221" s="14" t="s">
        <v>319</v>
      </c>
      <c r="E221" s="14" t="s">
        <v>73</v>
      </c>
      <c r="F221" s="9">
        <v>40.0</v>
      </c>
      <c r="G221" s="13" t="s">
        <v>76</v>
      </c>
      <c r="H221" s="13" t="s">
        <v>289</v>
      </c>
      <c r="I221" s="13" t="s">
        <v>324</v>
      </c>
      <c r="J221" s="13"/>
    </row>
    <row r="222" ht="15.75" customHeight="1">
      <c r="A222" s="23">
        <v>31.0</v>
      </c>
      <c r="B222" s="24">
        <v>46512.0</v>
      </c>
      <c r="C222" s="23" t="s">
        <v>68</v>
      </c>
      <c r="D222" s="25" t="s">
        <v>319</v>
      </c>
      <c r="E222" s="25" t="s">
        <v>126</v>
      </c>
      <c r="F222" s="23">
        <v>38.0</v>
      </c>
      <c r="G222" s="26" t="s">
        <v>127</v>
      </c>
      <c r="H222" s="26" t="s">
        <v>325</v>
      </c>
      <c r="I222" s="26" t="s">
        <v>81</v>
      </c>
      <c r="J222" s="26" t="s">
        <v>129</v>
      </c>
    </row>
    <row r="223" ht="15.75" customHeight="1">
      <c r="A223" s="15">
        <v>31.0</v>
      </c>
      <c r="B223" s="24">
        <v>46513.0</v>
      </c>
      <c r="C223" s="15" t="s">
        <v>95</v>
      </c>
      <c r="D223" s="17" t="s">
        <v>319</v>
      </c>
      <c r="E223" s="17" t="s">
        <v>100</v>
      </c>
      <c r="F223" s="15">
        <v>0.0</v>
      </c>
      <c r="G223" s="18" t="s">
        <v>81</v>
      </c>
      <c r="H223" s="18" t="s">
        <v>107</v>
      </c>
      <c r="I223" s="18" t="s">
        <v>326</v>
      </c>
      <c r="J223" s="18"/>
    </row>
    <row r="224" ht="15.75" customHeight="1">
      <c r="A224" s="9">
        <v>31.0</v>
      </c>
      <c r="B224" s="24">
        <v>46514.0</v>
      </c>
      <c r="C224" s="9" t="s">
        <v>109</v>
      </c>
      <c r="D224" s="14" t="s">
        <v>319</v>
      </c>
      <c r="E224" s="14" t="s">
        <v>73</v>
      </c>
      <c r="F224" s="9">
        <v>35.0</v>
      </c>
      <c r="G224" s="13" t="s">
        <v>110</v>
      </c>
      <c r="H224" s="13" t="s">
        <v>241</v>
      </c>
      <c r="I224" s="13" t="s">
        <v>81</v>
      </c>
      <c r="J224" s="13" t="s">
        <v>134</v>
      </c>
    </row>
    <row r="225" ht="15.75" customHeight="1">
      <c r="A225" s="19">
        <v>31.0</v>
      </c>
      <c r="B225" s="24">
        <v>46515.0</v>
      </c>
      <c r="C225" s="19" t="s">
        <v>112</v>
      </c>
      <c r="D225" s="21" t="s">
        <v>319</v>
      </c>
      <c r="E225" s="21" t="s">
        <v>113</v>
      </c>
      <c r="F225" s="19">
        <v>90.0</v>
      </c>
      <c r="G225" s="22" t="s">
        <v>76</v>
      </c>
      <c r="H225" s="22" t="s">
        <v>300</v>
      </c>
      <c r="I225" s="22" t="s">
        <v>81</v>
      </c>
      <c r="J225" s="22" t="s">
        <v>273</v>
      </c>
    </row>
    <row r="226" ht="15.75" customHeight="1">
      <c r="A226" s="15">
        <v>32.0</v>
      </c>
      <c r="B226" s="24">
        <v>46516.0</v>
      </c>
      <c r="C226" s="15" t="s">
        <v>116</v>
      </c>
      <c r="D226" s="17" t="s">
        <v>319</v>
      </c>
      <c r="E226" s="17" t="s">
        <v>100</v>
      </c>
      <c r="F226" s="15">
        <v>0.0</v>
      </c>
      <c r="G226" s="18" t="s">
        <v>81</v>
      </c>
      <c r="H226" s="18" t="s">
        <v>117</v>
      </c>
      <c r="I226" s="18" t="s">
        <v>327</v>
      </c>
      <c r="J226" s="18"/>
    </row>
    <row r="227" ht="15.75" customHeight="1">
      <c r="A227" s="23">
        <v>32.0</v>
      </c>
      <c r="B227" s="24">
        <v>46517.0</v>
      </c>
      <c r="C227" s="23" t="s">
        <v>119</v>
      </c>
      <c r="D227" s="25" t="s">
        <v>319</v>
      </c>
      <c r="E227" s="25" t="s">
        <v>120</v>
      </c>
      <c r="F227" s="23">
        <v>40.0</v>
      </c>
      <c r="G227" s="26" t="s">
        <v>121</v>
      </c>
      <c r="H227" s="26" t="s">
        <v>308</v>
      </c>
      <c r="I227" s="26" t="s">
        <v>81</v>
      </c>
      <c r="J227" s="26" t="s">
        <v>305</v>
      </c>
    </row>
    <row r="228" ht="15.75" customHeight="1">
      <c r="A228" s="9">
        <v>32.0</v>
      </c>
      <c r="B228" s="24">
        <v>46518.0</v>
      </c>
      <c r="C228" s="9" t="s">
        <v>124</v>
      </c>
      <c r="D228" s="14" t="s">
        <v>319</v>
      </c>
      <c r="E228" s="14" t="s">
        <v>73</v>
      </c>
      <c r="F228" s="9">
        <v>40.0</v>
      </c>
      <c r="G228" s="13" t="s">
        <v>110</v>
      </c>
      <c r="H228" s="13" t="s">
        <v>281</v>
      </c>
      <c r="I228" s="13" t="s">
        <v>328</v>
      </c>
      <c r="J228" s="13"/>
    </row>
    <row r="229" ht="15.75" customHeight="1">
      <c r="A229" s="23">
        <v>32.0</v>
      </c>
      <c r="B229" s="24">
        <v>46519.0</v>
      </c>
      <c r="C229" s="23" t="s">
        <v>68</v>
      </c>
      <c r="D229" s="25" t="s">
        <v>319</v>
      </c>
      <c r="E229" s="25" t="s">
        <v>137</v>
      </c>
      <c r="F229" s="23">
        <v>40.0</v>
      </c>
      <c r="G229" s="26" t="s">
        <v>138</v>
      </c>
      <c r="H229" s="26" t="s">
        <v>329</v>
      </c>
      <c r="I229" s="26" t="s">
        <v>81</v>
      </c>
      <c r="J229" s="26" t="s">
        <v>140</v>
      </c>
    </row>
    <row r="230" ht="15.75" customHeight="1">
      <c r="A230" s="15">
        <v>32.0</v>
      </c>
      <c r="B230" s="24">
        <v>46520.0</v>
      </c>
      <c r="C230" s="15" t="s">
        <v>95</v>
      </c>
      <c r="D230" s="17" t="s">
        <v>319</v>
      </c>
      <c r="E230" s="17" t="s">
        <v>100</v>
      </c>
      <c r="F230" s="15">
        <v>0.0</v>
      </c>
      <c r="G230" s="18" t="s">
        <v>81</v>
      </c>
      <c r="H230" s="18" t="s">
        <v>107</v>
      </c>
      <c r="I230" s="18" t="s">
        <v>330</v>
      </c>
      <c r="J230" s="18"/>
    </row>
    <row r="231" ht="15.75" customHeight="1">
      <c r="A231" s="9">
        <v>32.0</v>
      </c>
      <c r="B231" s="24">
        <v>46521.0</v>
      </c>
      <c r="C231" s="9" t="s">
        <v>109</v>
      </c>
      <c r="D231" s="14" t="s">
        <v>319</v>
      </c>
      <c r="E231" s="14" t="s">
        <v>73</v>
      </c>
      <c r="F231" s="9">
        <v>35.0</v>
      </c>
      <c r="G231" s="13" t="s">
        <v>110</v>
      </c>
      <c r="H231" s="13" t="s">
        <v>241</v>
      </c>
      <c r="I231" s="13" t="s">
        <v>81</v>
      </c>
      <c r="J231" s="13" t="s">
        <v>134</v>
      </c>
    </row>
    <row r="232" ht="15.75" customHeight="1">
      <c r="A232" s="19">
        <v>32.0</v>
      </c>
      <c r="B232" s="24">
        <v>46522.0</v>
      </c>
      <c r="C232" s="19" t="s">
        <v>112</v>
      </c>
      <c r="D232" s="21" t="s">
        <v>319</v>
      </c>
      <c r="E232" s="21" t="s">
        <v>113</v>
      </c>
      <c r="F232" s="19">
        <v>80.0</v>
      </c>
      <c r="G232" s="22" t="s">
        <v>76</v>
      </c>
      <c r="H232" s="22" t="s">
        <v>277</v>
      </c>
      <c r="I232" s="22" t="s">
        <v>81</v>
      </c>
      <c r="J232" s="22" t="s">
        <v>273</v>
      </c>
    </row>
    <row r="233" ht="15.75" customHeight="1">
      <c r="A233" s="15">
        <v>33.0</v>
      </c>
      <c r="B233" s="24">
        <v>46523.0</v>
      </c>
      <c r="C233" s="15" t="s">
        <v>116</v>
      </c>
      <c r="D233" s="17" t="s">
        <v>319</v>
      </c>
      <c r="E233" s="17" t="s">
        <v>100</v>
      </c>
      <c r="F233" s="15">
        <v>0.0</v>
      </c>
      <c r="G233" s="18" t="s">
        <v>81</v>
      </c>
      <c r="H233" s="18" t="s">
        <v>117</v>
      </c>
      <c r="I233" s="18" t="s">
        <v>331</v>
      </c>
      <c r="J233" s="18"/>
    </row>
    <row r="234" ht="15.75" customHeight="1">
      <c r="A234" s="23">
        <v>33.0</v>
      </c>
      <c r="B234" s="24">
        <v>46524.0</v>
      </c>
      <c r="C234" s="23" t="s">
        <v>119</v>
      </c>
      <c r="D234" s="25" t="s">
        <v>319</v>
      </c>
      <c r="E234" s="25" t="s">
        <v>169</v>
      </c>
      <c r="F234" s="23">
        <v>35.0</v>
      </c>
      <c r="G234" s="26" t="s">
        <v>121</v>
      </c>
      <c r="H234" s="26" t="s">
        <v>258</v>
      </c>
      <c r="I234" s="26" t="s">
        <v>81</v>
      </c>
      <c r="J234" s="26" t="s">
        <v>123</v>
      </c>
    </row>
    <row r="235" ht="15.75" customHeight="1">
      <c r="A235" s="9">
        <v>33.0</v>
      </c>
      <c r="B235" s="24">
        <v>46525.0</v>
      </c>
      <c r="C235" s="9" t="s">
        <v>124</v>
      </c>
      <c r="D235" s="14" t="s">
        <v>319</v>
      </c>
      <c r="E235" s="14" t="s">
        <v>73</v>
      </c>
      <c r="F235" s="9">
        <v>35.0</v>
      </c>
      <c r="G235" s="13" t="s">
        <v>76</v>
      </c>
      <c r="H235" s="13" t="s">
        <v>247</v>
      </c>
      <c r="I235" s="13" t="s">
        <v>332</v>
      </c>
      <c r="J235" s="13"/>
    </row>
    <row r="236" ht="15.75" customHeight="1">
      <c r="A236" s="23">
        <v>33.0</v>
      </c>
      <c r="B236" s="24">
        <v>46526.0</v>
      </c>
      <c r="C236" s="23" t="s">
        <v>68</v>
      </c>
      <c r="D236" s="25" t="s">
        <v>319</v>
      </c>
      <c r="E236" s="25" t="s">
        <v>126</v>
      </c>
      <c r="F236" s="23">
        <v>38.0</v>
      </c>
      <c r="G236" s="26" t="s">
        <v>127</v>
      </c>
      <c r="H236" s="26" t="s">
        <v>333</v>
      </c>
      <c r="I236" s="26" t="s">
        <v>81</v>
      </c>
      <c r="J236" s="26" t="s">
        <v>129</v>
      </c>
    </row>
    <row r="237" ht="15.75" customHeight="1">
      <c r="A237" s="15">
        <v>33.0</v>
      </c>
      <c r="B237" s="24">
        <v>46527.0</v>
      </c>
      <c r="C237" s="15" t="s">
        <v>95</v>
      </c>
      <c r="D237" s="17" t="s">
        <v>319</v>
      </c>
      <c r="E237" s="17" t="s">
        <v>100</v>
      </c>
      <c r="F237" s="15">
        <v>0.0</v>
      </c>
      <c r="G237" s="18" t="s">
        <v>81</v>
      </c>
      <c r="H237" s="18" t="s">
        <v>107</v>
      </c>
      <c r="I237" s="18" t="s">
        <v>334</v>
      </c>
      <c r="J237" s="18"/>
    </row>
    <row r="238" ht="15.75" customHeight="1">
      <c r="A238" s="9">
        <v>33.0</v>
      </c>
      <c r="B238" s="24">
        <v>46528.0</v>
      </c>
      <c r="C238" s="9" t="s">
        <v>109</v>
      </c>
      <c r="D238" s="14" t="s">
        <v>319</v>
      </c>
      <c r="E238" s="14" t="s">
        <v>73</v>
      </c>
      <c r="F238" s="9">
        <v>30.0</v>
      </c>
      <c r="G238" s="13" t="s">
        <v>110</v>
      </c>
      <c r="H238" s="13" t="s">
        <v>235</v>
      </c>
      <c r="I238" s="13" t="s">
        <v>81</v>
      </c>
      <c r="J238" s="13" t="s">
        <v>134</v>
      </c>
    </row>
    <row r="239" ht="15.75" customHeight="1">
      <c r="A239" s="19">
        <v>33.0</v>
      </c>
      <c r="B239" s="24">
        <v>46529.0</v>
      </c>
      <c r="C239" s="19" t="s">
        <v>112</v>
      </c>
      <c r="D239" s="21" t="s">
        <v>319</v>
      </c>
      <c r="E239" s="21" t="s">
        <v>113</v>
      </c>
      <c r="F239" s="19">
        <v>65.0</v>
      </c>
      <c r="G239" s="22" t="s">
        <v>76</v>
      </c>
      <c r="H239" s="22" t="s">
        <v>161</v>
      </c>
      <c r="I239" s="22" t="s">
        <v>81</v>
      </c>
      <c r="J239" s="22"/>
    </row>
    <row r="240" ht="15.75" customHeight="1">
      <c r="A240" s="15">
        <v>34.0</v>
      </c>
      <c r="B240" s="24">
        <v>46530.0</v>
      </c>
      <c r="C240" s="15" t="s">
        <v>116</v>
      </c>
      <c r="D240" s="17" t="s">
        <v>319</v>
      </c>
      <c r="E240" s="17" t="s">
        <v>100</v>
      </c>
      <c r="F240" s="15">
        <v>0.0</v>
      </c>
      <c r="G240" s="18" t="s">
        <v>81</v>
      </c>
      <c r="H240" s="18" t="s">
        <v>117</v>
      </c>
      <c r="I240" s="18" t="s">
        <v>320</v>
      </c>
      <c r="J240" s="18"/>
    </row>
    <row r="241" ht="15.75" customHeight="1">
      <c r="A241" s="23">
        <v>34.0</v>
      </c>
      <c r="B241" s="24">
        <v>46531.0</v>
      </c>
      <c r="C241" s="23" t="s">
        <v>119</v>
      </c>
      <c r="D241" s="25" t="s">
        <v>319</v>
      </c>
      <c r="E241" s="25" t="s">
        <v>120</v>
      </c>
      <c r="F241" s="23">
        <v>40.0</v>
      </c>
      <c r="G241" s="26" t="s">
        <v>121</v>
      </c>
      <c r="H241" s="26" t="s">
        <v>280</v>
      </c>
      <c r="I241" s="26" t="s">
        <v>81</v>
      </c>
      <c r="J241" s="26" t="s">
        <v>305</v>
      </c>
    </row>
    <row r="242" ht="15.75" customHeight="1">
      <c r="A242" s="9">
        <v>34.0</v>
      </c>
      <c r="B242" s="24">
        <v>46532.0</v>
      </c>
      <c r="C242" s="9" t="s">
        <v>124</v>
      </c>
      <c r="D242" s="14" t="s">
        <v>319</v>
      </c>
      <c r="E242" s="14" t="s">
        <v>73</v>
      </c>
      <c r="F242" s="9">
        <v>40.0</v>
      </c>
      <c r="G242" s="13" t="s">
        <v>110</v>
      </c>
      <c r="H242" s="13" t="s">
        <v>281</v>
      </c>
      <c r="I242" s="13" t="s">
        <v>321</v>
      </c>
      <c r="J242" s="13"/>
    </row>
    <row r="243" ht="15.75" customHeight="1">
      <c r="A243" s="23">
        <v>34.0</v>
      </c>
      <c r="B243" s="24">
        <v>46533.0</v>
      </c>
      <c r="C243" s="23" t="s">
        <v>68</v>
      </c>
      <c r="D243" s="25" t="s">
        <v>319</v>
      </c>
      <c r="E243" s="25" t="s">
        <v>137</v>
      </c>
      <c r="F243" s="23">
        <v>37.0</v>
      </c>
      <c r="G243" s="26" t="s">
        <v>138</v>
      </c>
      <c r="H243" s="26" t="s">
        <v>254</v>
      </c>
      <c r="I243" s="26" t="s">
        <v>81</v>
      </c>
      <c r="J243" s="26" t="s">
        <v>140</v>
      </c>
    </row>
    <row r="244" ht="15.75" customHeight="1">
      <c r="A244" s="15">
        <v>34.0</v>
      </c>
      <c r="B244" s="24">
        <v>46534.0</v>
      </c>
      <c r="C244" s="15" t="s">
        <v>95</v>
      </c>
      <c r="D244" s="17" t="s">
        <v>319</v>
      </c>
      <c r="E244" s="17" t="s">
        <v>100</v>
      </c>
      <c r="F244" s="15">
        <v>0.0</v>
      </c>
      <c r="G244" s="18" t="s">
        <v>81</v>
      </c>
      <c r="H244" s="18" t="s">
        <v>107</v>
      </c>
      <c r="I244" s="18" t="s">
        <v>322</v>
      </c>
      <c r="J244" s="18"/>
    </row>
    <row r="245" ht="15.75" customHeight="1">
      <c r="A245" s="9">
        <v>34.0</v>
      </c>
      <c r="B245" s="24">
        <v>46535.0</v>
      </c>
      <c r="C245" s="9" t="s">
        <v>109</v>
      </c>
      <c r="D245" s="14" t="s">
        <v>319</v>
      </c>
      <c r="E245" s="14" t="s">
        <v>73</v>
      </c>
      <c r="F245" s="9">
        <v>35.0</v>
      </c>
      <c r="G245" s="13" t="s">
        <v>110</v>
      </c>
      <c r="H245" s="13" t="s">
        <v>241</v>
      </c>
      <c r="I245" s="13" t="s">
        <v>81</v>
      </c>
      <c r="J245" s="13" t="s">
        <v>134</v>
      </c>
    </row>
    <row r="246" ht="15.75" customHeight="1">
      <c r="A246" s="19">
        <v>34.0</v>
      </c>
      <c r="B246" s="24">
        <v>46536.0</v>
      </c>
      <c r="C246" s="19" t="s">
        <v>112</v>
      </c>
      <c r="D246" s="21" t="s">
        <v>319</v>
      </c>
      <c r="E246" s="21" t="s">
        <v>113</v>
      </c>
      <c r="F246" s="19">
        <v>90.0</v>
      </c>
      <c r="G246" s="22" t="s">
        <v>76</v>
      </c>
      <c r="H246" s="22" t="s">
        <v>300</v>
      </c>
      <c r="I246" s="22" t="s">
        <v>81</v>
      </c>
      <c r="J246" s="22" t="s">
        <v>273</v>
      </c>
    </row>
    <row r="247" ht="15.75" customHeight="1">
      <c r="A247" s="15">
        <v>35.0</v>
      </c>
      <c r="B247" s="24">
        <v>46537.0</v>
      </c>
      <c r="C247" s="15" t="s">
        <v>116</v>
      </c>
      <c r="D247" s="17" t="s">
        <v>319</v>
      </c>
      <c r="E247" s="17" t="s">
        <v>100</v>
      </c>
      <c r="F247" s="15">
        <v>0.0</v>
      </c>
      <c r="G247" s="18" t="s">
        <v>81</v>
      </c>
      <c r="H247" s="18" t="s">
        <v>117</v>
      </c>
      <c r="I247" s="18" t="s">
        <v>323</v>
      </c>
      <c r="J247" s="18"/>
    </row>
    <row r="248" ht="15.75" customHeight="1">
      <c r="A248" s="23">
        <v>35.0</v>
      </c>
      <c r="B248" s="24">
        <v>46538.0</v>
      </c>
      <c r="C248" s="23" t="s">
        <v>119</v>
      </c>
      <c r="D248" s="25" t="s">
        <v>319</v>
      </c>
      <c r="E248" s="25" t="s">
        <v>120</v>
      </c>
      <c r="F248" s="23">
        <v>40.0</v>
      </c>
      <c r="G248" s="26" t="s">
        <v>121</v>
      </c>
      <c r="H248" s="26" t="s">
        <v>288</v>
      </c>
      <c r="I248" s="26" t="s">
        <v>81</v>
      </c>
      <c r="J248" s="26" t="s">
        <v>305</v>
      </c>
    </row>
    <row r="249" ht="15.75" customHeight="1">
      <c r="A249" s="9">
        <v>35.0</v>
      </c>
      <c r="B249" s="24">
        <v>46539.0</v>
      </c>
      <c r="C249" s="9" t="s">
        <v>124</v>
      </c>
      <c r="D249" s="14" t="s">
        <v>319</v>
      </c>
      <c r="E249" s="14" t="s">
        <v>73</v>
      </c>
      <c r="F249" s="9">
        <v>40.0</v>
      </c>
      <c r="G249" s="13" t="s">
        <v>76</v>
      </c>
      <c r="H249" s="13" t="s">
        <v>289</v>
      </c>
      <c r="I249" s="13" t="s">
        <v>324</v>
      </c>
      <c r="J249" s="13"/>
    </row>
    <row r="250" ht="15.75" customHeight="1">
      <c r="A250" s="23">
        <v>35.0</v>
      </c>
      <c r="B250" s="24">
        <v>46540.0</v>
      </c>
      <c r="C250" s="23" t="s">
        <v>68</v>
      </c>
      <c r="D250" s="25" t="s">
        <v>319</v>
      </c>
      <c r="E250" s="25" t="s">
        <v>126</v>
      </c>
      <c r="F250" s="23">
        <v>38.0</v>
      </c>
      <c r="G250" s="26" t="s">
        <v>127</v>
      </c>
      <c r="H250" s="26" t="s">
        <v>338</v>
      </c>
      <c r="I250" s="26" t="s">
        <v>81</v>
      </c>
      <c r="J250" s="26" t="s">
        <v>129</v>
      </c>
    </row>
    <row r="251" ht="15.75" customHeight="1">
      <c r="A251" s="15">
        <v>35.0</v>
      </c>
      <c r="B251" s="24">
        <v>46541.0</v>
      </c>
      <c r="C251" s="15" t="s">
        <v>95</v>
      </c>
      <c r="D251" s="17" t="s">
        <v>319</v>
      </c>
      <c r="E251" s="17" t="s">
        <v>100</v>
      </c>
      <c r="F251" s="15">
        <v>0.0</v>
      </c>
      <c r="G251" s="18" t="s">
        <v>81</v>
      </c>
      <c r="H251" s="18" t="s">
        <v>107</v>
      </c>
      <c r="I251" s="18" t="s">
        <v>339</v>
      </c>
      <c r="J251" s="18"/>
    </row>
    <row r="252" ht="15.75" customHeight="1">
      <c r="A252" s="9">
        <v>35.0</v>
      </c>
      <c r="B252" s="24">
        <v>46542.0</v>
      </c>
      <c r="C252" s="9" t="s">
        <v>109</v>
      </c>
      <c r="D252" s="14" t="s">
        <v>319</v>
      </c>
      <c r="E252" s="14" t="s">
        <v>73</v>
      </c>
      <c r="F252" s="9">
        <v>35.0</v>
      </c>
      <c r="G252" s="13" t="s">
        <v>110</v>
      </c>
      <c r="H252" s="13" t="s">
        <v>241</v>
      </c>
      <c r="I252" s="13" t="s">
        <v>81</v>
      </c>
      <c r="J252" s="13" t="s">
        <v>134</v>
      </c>
    </row>
    <row r="253" ht="15.75" customHeight="1">
      <c r="A253" s="19">
        <v>35.0</v>
      </c>
      <c r="B253" s="24">
        <v>46543.0</v>
      </c>
      <c r="C253" s="19" t="s">
        <v>112</v>
      </c>
      <c r="D253" s="21" t="s">
        <v>319</v>
      </c>
      <c r="E253" s="21" t="s">
        <v>113</v>
      </c>
      <c r="F253" s="19">
        <v>80.0</v>
      </c>
      <c r="G253" s="22" t="s">
        <v>76</v>
      </c>
      <c r="H253" s="22" t="s">
        <v>277</v>
      </c>
      <c r="I253" s="22" t="s">
        <v>81</v>
      </c>
      <c r="J253" s="22" t="s">
        <v>273</v>
      </c>
    </row>
    <row r="254" ht="15.75" customHeight="1">
      <c r="A254" s="15">
        <v>36.0</v>
      </c>
      <c r="B254" s="24">
        <v>46544.0</v>
      </c>
      <c r="C254" s="15" t="s">
        <v>116</v>
      </c>
      <c r="D254" s="17" t="s">
        <v>319</v>
      </c>
      <c r="E254" s="17" t="s">
        <v>100</v>
      </c>
      <c r="F254" s="15">
        <v>0.0</v>
      </c>
      <c r="G254" s="18" t="s">
        <v>81</v>
      </c>
      <c r="H254" s="18" t="s">
        <v>117</v>
      </c>
      <c r="I254" s="18" t="s">
        <v>327</v>
      </c>
      <c r="J254" s="18"/>
    </row>
    <row r="255" ht="15.75" customHeight="1">
      <c r="A255" s="23">
        <v>36.0</v>
      </c>
      <c r="B255" s="24">
        <v>46545.0</v>
      </c>
      <c r="C255" s="23" t="s">
        <v>119</v>
      </c>
      <c r="D255" s="25" t="s">
        <v>319</v>
      </c>
      <c r="E255" s="25" t="s">
        <v>120</v>
      </c>
      <c r="F255" s="23">
        <v>40.0</v>
      </c>
      <c r="G255" s="26" t="s">
        <v>121</v>
      </c>
      <c r="H255" s="26" t="s">
        <v>308</v>
      </c>
      <c r="I255" s="26" t="s">
        <v>81</v>
      </c>
      <c r="J255" s="26" t="s">
        <v>305</v>
      </c>
    </row>
    <row r="256" ht="15.75" customHeight="1">
      <c r="A256" s="9">
        <v>36.0</v>
      </c>
      <c r="B256" s="24">
        <v>46546.0</v>
      </c>
      <c r="C256" s="9" t="s">
        <v>124</v>
      </c>
      <c r="D256" s="14" t="s">
        <v>319</v>
      </c>
      <c r="E256" s="14" t="s">
        <v>73</v>
      </c>
      <c r="F256" s="9">
        <v>40.0</v>
      </c>
      <c r="G256" s="13" t="s">
        <v>110</v>
      </c>
      <c r="H256" s="13" t="s">
        <v>281</v>
      </c>
      <c r="I256" s="13" t="s">
        <v>328</v>
      </c>
      <c r="J256" s="13"/>
    </row>
    <row r="257" ht="15.75" customHeight="1">
      <c r="A257" s="23">
        <v>36.0</v>
      </c>
      <c r="B257" s="24">
        <v>46547.0</v>
      </c>
      <c r="C257" s="23" t="s">
        <v>68</v>
      </c>
      <c r="D257" s="25" t="s">
        <v>319</v>
      </c>
      <c r="E257" s="25" t="s">
        <v>137</v>
      </c>
      <c r="F257" s="23">
        <v>40.0</v>
      </c>
      <c r="G257" s="26" t="s">
        <v>138</v>
      </c>
      <c r="H257" s="26" t="s">
        <v>298</v>
      </c>
      <c r="I257" s="26" t="s">
        <v>81</v>
      </c>
      <c r="J257" s="26" t="s">
        <v>140</v>
      </c>
    </row>
    <row r="258" ht="15.75" customHeight="1">
      <c r="A258" s="15">
        <v>36.0</v>
      </c>
      <c r="B258" s="24">
        <v>46548.0</v>
      </c>
      <c r="C258" s="15" t="s">
        <v>95</v>
      </c>
      <c r="D258" s="17" t="s">
        <v>319</v>
      </c>
      <c r="E258" s="17" t="s">
        <v>100</v>
      </c>
      <c r="F258" s="15">
        <v>0.0</v>
      </c>
      <c r="G258" s="18" t="s">
        <v>81</v>
      </c>
      <c r="H258" s="18" t="s">
        <v>107</v>
      </c>
      <c r="I258" s="18" t="s">
        <v>341</v>
      </c>
      <c r="J258" s="18"/>
    </row>
    <row r="259" ht="15.75" customHeight="1">
      <c r="A259" s="9">
        <v>36.0</v>
      </c>
      <c r="B259" s="24">
        <v>46549.0</v>
      </c>
      <c r="C259" s="9" t="s">
        <v>109</v>
      </c>
      <c r="D259" s="14" t="s">
        <v>319</v>
      </c>
      <c r="E259" s="14" t="s">
        <v>73</v>
      </c>
      <c r="F259" s="9">
        <v>35.0</v>
      </c>
      <c r="G259" s="13" t="s">
        <v>110</v>
      </c>
      <c r="H259" s="13" t="s">
        <v>241</v>
      </c>
      <c r="I259" s="13" t="s">
        <v>81</v>
      </c>
      <c r="J259" s="13" t="s">
        <v>134</v>
      </c>
    </row>
    <row r="260" ht="15.75" customHeight="1">
      <c r="A260" s="19">
        <v>36.0</v>
      </c>
      <c r="B260" s="24">
        <v>46550.0</v>
      </c>
      <c r="C260" s="19" t="s">
        <v>112</v>
      </c>
      <c r="D260" s="21" t="s">
        <v>319</v>
      </c>
      <c r="E260" s="21" t="s">
        <v>113</v>
      </c>
      <c r="F260" s="19">
        <v>90.0</v>
      </c>
      <c r="G260" s="22" t="s">
        <v>76</v>
      </c>
      <c r="H260" s="22" t="s">
        <v>300</v>
      </c>
      <c r="I260" s="22" t="s">
        <v>81</v>
      </c>
      <c r="J260" s="22" t="s">
        <v>273</v>
      </c>
    </row>
    <row r="261" ht="15.75" customHeight="1">
      <c r="A261" s="15">
        <v>37.0</v>
      </c>
      <c r="B261" s="24">
        <v>46551.0</v>
      </c>
      <c r="C261" s="15" t="s">
        <v>116</v>
      </c>
      <c r="D261" s="17" t="s">
        <v>319</v>
      </c>
      <c r="E261" s="17" t="s">
        <v>100</v>
      </c>
      <c r="F261" s="15">
        <v>0.0</v>
      </c>
      <c r="G261" s="18" t="s">
        <v>81</v>
      </c>
      <c r="H261" s="18" t="s">
        <v>117</v>
      </c>
      <c r="I261" s="18" t="s">
        <v>331</v>
      </c>
      <c r="J261" s="18"/>
    </row>
    <row r="262" ht="15.75" customHeight="1">
      <c r="A262" s="23">
        <v>37.0</v>
      </c>
      <c r="B262" s="24">
        <v>46552.0</v>
      </c>
      <c r="C262" s="23" t="s">
        <v>119</v>
      </c>
      <c r="D262" s="25" t="s">
        <v>319</v>
      </c>
      <c r="E262" s="25" t="s">
        <v>169</v>
      </c>
      <c r="F262" s="23">
        <v>35.0</v>
      </c>
      <c r="G262" s="26" t="s">
        <v>121</v>
      </c>
      <c r="H262" s="26" t="s">
        <v>258</v>
      </c>
      <c r="I262" s="26" t="s">
        <v>81</v>
      </c>
      <c r="J262" s="26" t="s">
        <v>123</v>
      </c>
    </row>
    <row r="263" ht="15.75" customHeight="1">
      <c r="A263" s="9">
        <v>37.0</v>
      </c>
      <c r="B263" s="24">
        <v>46553.0</v>
      </c>
      <c r="C263" s="9" t="s">
        <v>124</v>
      </c>
      <c r="D263" s="14" t="s">
        <v>319</v>
      </c>
      <c r="E263" s="14" t="s">
        <v>73</v>
      </c>
      <c r="F263" s="9">
        <v>35.0</v>
      </c>
      <c r="G263" s="13" t="s">
        <v>76</v>
      </c>
      <c r="H263" s="13" t="s">
        <v>247</v>
      </c>
      <c r="I263" s="13" t="s">
        <v>332</v>
      </c>
      <c r="J263" s="13"/>
    </row>
    <row r="264" ht="15.75" customHeight="1">
      <c r="A264" s="23">
        <v>37.0</v>
      </c>
      <c r="B264" s="24">
        <v>46554.0</v>
      </c>
      <c r="C264" s="23" t="s">
        <v>68</v>
      </c>
      <c r="D264" s="25" t="s">
        <v>319</v>
      </c>
      <c r="E264" s="25" t="s">
        <v>126</v>
      </c>
      <c r="F264" s="23">
        <v>38.0</v>
      </c>
      <c r="G264" s="26" t="s">
        <v>127</v>
      </c>
      <c r="H264" s="26" t="s">
        <v>333</v>
      </c>
      <c r="I264" s="26" t="s">
        <v>81</v>
      </c>
      <c r="J264" s="26" t="s">
        <v>129</v>
      </c>
    </row>
    <row r="265" ht="15.75" customHeight="1">
      <c r="A265" s="15">
        <v>37.0</v>
      </c>
      <c r="B265" s="24">
        <v>46555.0</v>
      </c>
      <c r="C265" s="15" t="s">
        <v>95</v>
      </c>
      <c r="D265" s="17" t="s">
        <v>319</v>
      </c>
      <c r="E265" s="17" t="s">
        <v>100</v>
      </c>
      <c r="F265" s="15">
        <v>0.0</v>
      </c>
      <c r="G265" s="18" t="s">
        <v>81</v>
      </c>
      <c r="H265" s="18" t="s">
        <v>107</v>
      </c>
      <c r="I265" s="18" t="s">
        <v>334</v>
      </c>
      <c r="J265" s="18"/>
    </row>
    <row r="266" ht="15.75" customHeight="1">
      <c r="A266" s="9">
        <v>37.0</v>
      </c>
      <c r="B266" s="24">
        <v>46556.0</v>
      </c>
      <c r="C266" s="9" t="s">
        <v>109</v>
      </c>
      <c r="D266" s="14" t="s">
        <v>319</v>
      </c>
      <c r="E266" s="14" t="s">
        <v>73</v>
      </c>
      <c r="F266" s="9">
        <v>30.0</v>
      </c>
      <c r="G266" s="13" t="s">
        <v>110</v>
      </c>
      <c r="H266" s="13" t="s">
        <v>235</v>
      </c>
      <c r="I266" s="13" t="s">
        <v>81</v>
      </c>
      <c r="J266" s="13" t="s">
        <v>134</v>
      </c>
    </row>
    <row r="267" ht="15.75" customHeight="1">
      <c r="A267" s="19">
        <v>37.0</v>
      </c>
      <c r="B267" s="24">
        <v>46557.0</v>
      </c>
      <c r="C267" s="19" t="s">
        <v>112</v>
      </c>
      <c r="D267" s="21" t="s">
        <v>319</v>
      </c>
      <c r="E267" s="21" t="s">
        <v>113</v>
      </c>
      <c r="F267" s="19">
        <v>65.0</v>
      </c>
      <c r="G267" s="22" t="s">
        <v>76</v>
      </c>
      <c r="H267" s="22" t="s">
        <v>161</v>
      </c>
      <c r="I267" s="22" t="s">
        <v>81</v>
      </c>
      <c r="J267" s="22"/>
    </row>
    <row r="268" ht="15.75" customHeight="1">
      <c r="A268" s="15">
        <v>38.0</v>
      </c>
      <c r="B268" s="24">
        <v>46558.0</v>
      </c>
      <c r="C268" s="15" t="s">
        <v>116</v>
      </c>
      <c r="D268" s="17" t="s">
        <v>319</v>
      </c>
      <c r="E268" s="17" t="s">
        <v>100</v>
      </c>
      <c r="F268" s="15">
        <v>0.0</v>
      </c>
      <c r="G268" s="18" t="s">
        <v>81</v>
      </c>
      <c r="H268" s="18" t="s">
        <v>117</v>
      </c>
      <c r="I268" s="18" t="s">
        <v>320</v>
      </c>
      <c r="J268" s="18"/>
    </row>
    <row r="269" ht="15.75" customHeight="1">
      <c r="A269" s="23">
        <v>38.0</v>
      </c>
      <c r="B269" s="24">
        <v>46559.0</v>
      </c>
      <c r="C269" s="23" t="s">
        <v>119</v>
      </c>
      <c r="D269" s="25" t="s">
        <v>319</v>
      </c>
      <c r="E269" s="25" t="s">
        <v>120</v>
      </c>
      <c r="F269" s="23">
        <v>40.0</v>
      </c>
      <c r="G269" s="26" t="s">
        <v>121</v>
      </c>
      <c r="H269" s="26" t="s">
        <v>280</v>
      </c>
      <c r="I269" s="26" t="s">
        <v>81</v>
      </c>
      <c r="J269" s="26" t="s">
        <v>305</v>
      </c>
    </row>
    <row r="270" ht="15.75" customHeight="1">
      <c r="A270" s="9">
        <v>38.0</v>
      </c>
      <c r="B270" s="24">
        <v>46560.0</v>
      </c>
      <c r="C270" s="9" t="s">
        <v>124</v>
      </c>
      <c r="D270" s="14" t="s">
        <v>319</v>
      </c>
      <c r="E270" s="14" t="s">
        <v>73</v>
      </c>
      <c r="F270" s="9">
        <v>40.0</v>
      </c>
      <c r="G270" s="13" t="s">
        <v>110</v>
      </c>
      <c r="H270" s="13" t="s">
        <v>281</v>
      </c>
      <c r="I270" s="13" t="s">
        <v>321</v>
      </c>
      <c r="J270" s="13"/>
    </row>
    <row r="271" ht="15.75" customHeight="1">
      <c r="A271" s="23">
        <v>38.0</v>
      </c>
      <c r="B271" s="24">
        <v>46561.0</v>
      </c>
      <c r="C271" s="23" t="s">
        <v>68</v>
      </c>
      <c r="D271" s="25" t="s">
        <v>319</v>
      </c>
      <c r="E271" s="25" t="s">
        <v>137</v>
      </c>
      <c r="F271" s="23">
        <v>40.0</v>
      </c>
      <c r="G271" s="26" t="s">
        <v>138</v>
      </c>
      <c r="H271" s="26" t="s">
        <v>283</v>
      </c>
      <c r="I271" s="26" t="s">
        <v>81</v>
      </c>
      <c r="J271" s="26" t="s">
        <v>140</v>
      </c>
    </row>
    <row r="272" ht="15.75" customHeight="1">
      <c r="A272" s="15">
        <v>38.0</v>
      </c>
      <c r="B272" s="24">
        <v>46562.0</v>
      </c>
      <c r="C272" s="15" t="s">
        <v>95</v>
      </c>
      <c r="D272" s="17" t="s">
        <v>319</v>
      </c>
      <c r="E272" s="17" t="s">
        <v>100</v>
      </c>
      <c r="F272" s="15">
        <v>0.0</v>
      </c>
      <c r="G272" s="18" t="s">
        <v>81</v>
      </c>
      <c r="H272" s="18" t="s">
        <v>107</v>
      </c>
      <c r="I272" s="18" t="s">
        <v>322</v>
      </c>
      <c r="J272" s="18"/>
    </row>
    <row r="273" ht="15.75" customHeight="1">
      <c r="A273" s="9">
        <v>38.0</v>
      </c>
      <c r="B273" s="24">
        <v>46563.0</v>
      </c>
      <c r="C273" s="9" t="s">
        <v>109</v>
      </c>
      <c r="D273" s="14" t="s">
        <v>319</v>
      </c>
      <c r="E273" s="14" t="s">
        <v>73</v>
      </c>
      <c r="F273" s="9">
        <v>35.0</v>
      </c>
      <c r="G273" s="13" t="s">
        <v>110</v>
      </c>
      <c r="H273" s="13" t="s">
        <v>241</v>
      </c>
      <c r="I273" s="13" t="s">
        <v>81</v>
      </c>
      <c r="J273" s="13" t="s">
        <v>134</v>
      </c>
    </row>
    <row r="274" ht="15.75" customHeight="1">
      <c r="A274" s="19">
        <v>38.0</v>
      </c>
      <c r="B274" s="24">
        <v>46564.0</v>
      </c>
      <c r="C274" s="19" t="s">
        <v>112</v>
      </c>
      <c r="D274" s="21" t="s">
        <v>319</v>
      </c>
      <c r="E274" s="21" t="s">
        <v>113</v>
      </c>
      <c r="F274" s="19">
        <v>90.0</v>
      </c>
      <c r="G274" s="22" t="s">
        <v>76</v>
      </c>
      <c r="H274" s="22" t="s">
        <v>300</v>
      </c>
      <c r="I274" s="22" t="s">
        <v>81</v>
      </c>
      <c r="J274" s="22" t="s">
        <v>273</v>
      </c>
    </row>
    <row r="275" ht="15.75" customHeight="1">
      <c r="A275" s="15">
        <v>39.0</v>
      </c>
      <c r="B275" s="24">
        <v>46565.0</v>
      </c>
      <c r="C275" s="15" t="s">
        <v>116</v>
      </c>
      <c r="D275" s="17" t="s">
        <v>319</v>
      </c>
      <c r="E275" s="17" t="s">
        <v>100</v>
      </c>
      <c r="F275" s="15">
        <v>0.0</v>
      </c>
      <c r="G275" s="18" t="s">
        <v>81</v>
      </c>
      <c r="H275" s="18" t="s">
        <v>117</v>
      </c>
      <c r="I275" s="18" t="s">
        <v>323</v>
      </c>
      <c r="J275" s="18"/>
    </row>
    <row r="276" ht="15.75" customHeight="1">
      <c r="A276" s="23">
        <v>39.0</v>
      </c>
      <c r="B276" s="24">
        <v>46566.0</v>
      </c>
      <c r="C276" s="23" t="s">
        <v>119</v>
      </c>
      <c r="D276" s="25" t="s">
        <v>319</v>
      </c>
      <c r="E276" s="25" t="s">
        <v>120</v>
      </c>
      <c r="F276" s="23">
        <v>40.0</v>
      </c>
      <c r="G276" s="26" t="s">
        <v>121</v>
      </c>
      <c r="H276" s="26" t="s">
        <v>288</v>
      </c>
      <c r="I276" s="26" t="s">
        <v>81</v>
      </c>
      <c r="J276" s="26" t="s">
        <v>305</v>
      </c>
    </row>
    <row r="277" ht="15.75" customHeight="1">
      <c r="A277" s="9">
        <v>39.0</v>
      </c>
      <c r="B277" s="24">
        <v>46567.0</v>
      </c>
      <c r="C277" s="9" t="s">
        <v>124</v>
      </c>
      <c r="D277" s="14" t="s">
        <v>319</v>
      </c>
      <c r="E277" s="14" t="s">
        <v>73</v>
      </c>
      <c r="F277" s="9">
        <v>40.0</v>
      </c>
      <c r="G277" s="13" t="s">
        <v>76</v>
      </c>
      <c r="H277" s="13" t="s">
        <v>289</v>
      </c>
      <c r="I277" s="13" t="s">
        <v>324</v>
      </c>
      <c r="J277" s="13"/>
    </row>
    <row r="278" ht="15.75" customHeight="1">
      <c r="A278" s="23">
        <v>39.0</v>
      </c>
      <c r="B278" s="24">
        <v>46568.0</v>
      </c>
      <c r="C278" s="23" t="s">
        <v>68</v>
      </c>
      <c r="D278" s="25" t="s">
        <v>319</v>
      </c>
      <c r="E278" s="25" t="s">
        <v>126</v>
      </c>
      <c r="F278" s="23">
        <v>38.0</v>
      </c>
      <c r="G278" s="26" t="s">
        <v>127</v>
      </c>
      <c r="H278" s="26" t="s">
        <v>342</v>
      </c>
      <c r="I278" s="26" t="s">
        <v>81</v>
      </c>
      <c r="J278" s="26" t="s">
        <v>129</v>
      </c>
    </row>
    <row r="279" ht="15.75" customHeight="1">
      <c r="A279" s="15">
        <v>39.0</v>
      </c>
      <c r="B279" s="24">
        <v>46569.0</v>
      </c>
      <c r="C279" s="15" t="s">
        <v>95</v>
      </c>
      <c r="D279" s="17" t="s">
        <v>319</v>
      </c>
      <c r="E279" s="17" t="s">
        <v>100</v>
      </c>
      <c r="F279" s="15">
        <v>0.0</v>
      </c>
      <c r="G279" s="18" t="s">
        <v>81</v>
      </c>
      <c r="H279" s="18" t="s">
        <v>107</v>
      </c>
      <c r="I279" s="18" t="s">
        <v>339</v>
      </c>
      <c r="J279" s="18"/>
    </row>
    <row r="280" ht="15.75" customHeight="1">
      <c r="A280" s="9">
        <v>39.0</v>
      </c>
      <c r="B280" s="24">
        <v>46570.0</v>
      </c>
      <c r="C280" s="9" t="s">
        <v>109</v>
      </c>
      <c r="D280" s="14" t="s">
        <v>319</v>
      </c>
      <c r="E280" s="14" t="s">
        <v>73</v>
      </c>
      <c r="F280" s="9">
        <v>35.0</v>
      </c>
      <c r="G280" s="13" t="s">
        <v>110</v>
      </c>
      <c r="H280" s="13" t="s">
        <v>241</v>
      </c>
      <c r="I280" s="13" t="s">
        <v>81</v>
      </c>
      <c r="J280" s="13" t="s">
        <v>134</v>
      </c>
    </row>
    <row r="281" ht="15.75" customHeight="1">
      <c r="A281" s="19">
        <v>39.0</v>
      </c>
      <c r="B281" s="24">
        <v>46571.0</v>
      </c>
      <c r="C281" s="19" t="s">
        <v>112</v>
      </c>
      <c r="D281" s="21" t="s">
        <v>319</v>
      </c>
      <c r="E281" s="21" t="s">
        <v>113</v>
      </c>
      <c r="F281" s="19">
        <v>80.0</v>
      </c>
      <c r="G281" s="22" t="s">
        <v>76</v>
      </c>
      <c r="H281" s="22" t="s">
        <v>277</v>
      </c>
      <c r="I281" s="22" t="s">
        <v>81</v>
      </c>
      <c r="J281" s="22" t="s">
        <v>273</v>
      </c>
    </row>
    <row r="282" ht="15.75" customHeight="1">
      <c r="A282" s="15">
        <v>40.0</v>
      </c>
      <c r="B282" s="24">
        <v>46572.0</v>
      </c>
      <c r="C282" s="15" t="s">
        <v>116</v>
      </c>
      <c r="D282" s="17" t="s">
        <v>319</v>
      </c>
      <c r="E282" s="17" t="s">
        <v>100</v>
      </c>
      <c r="F282" s="15">
        <v>0.0</v>
      </c>
      <c r="G282" s="18" t="s">
        <v>81</v>
      </c>
      <c r="H282" s="18" t="s">
        <v>117</v>
      </c>
      <c r="I282" s="18" t="s">
        <v>327</v>
      </c>
      <c r="J282" s="18"/>
    </row>
    <row r="283" ht="15.75" customHeight="1">
      <c r="A283" s="23">
        <v>40.0</v>
      </c>
      <c r="B283" s="24">
        <v>46573.0</v>
      </c>
      <c r="C283" s="23" t="s">
        <v>119</v>
      </c>
      <c r="D283" s="25" t="s">
        <v>319</v>
      </c>
      <c r="E283" s="25" t="s">
        <v>120</v>
      </c>
      <c r="F283" s="23">
        <v>40.0</v>
      </c>
      <c r="G283" s="26" t="s">
        <v>121</v>
      </c>
      <c r="H283" s="26" t="s">
        <v>308</v>
      </c>
      <c r="I283" s="26" t="s">
        <v>81</v>
      </c>
      <c r="J283" s="26" t="s">
        <v>305</v>
      </c>
    </row>
    <row r="284" ht="15.75" customHeight="1">
      <c r="A284" s="9">
        <v>40.0</v>
      </c>
      <c r="B284" s="24">
        <v>46574.0</v>
      </c>
      <c r="C284" s="9" t="s">
        <v>124</v>
      </c>
      <c r="D284" s="14" t="s">
        <v>319</v>
      </c>
      <c r="E284" s="14" t="s">
        <v>73</v>
      </c>
      <c r="F284" s="9">
        <v>40.0</v>
      </c>
      <c r="G284" s="13" t="s">
        <v>110</v>
      </c>
      <c r="H284" s="13" t="s">
        <v>281</v>
      </c>
      <c r="I284" s="13" t="s">
        <v>328</v>
      </c>
      <c r="J284" s="13"/>
    </row>
    <row r="285" ht="15.75" customHeight="1">
      <c r="A285" s="23">
        <v>40.0</v>
      </c>
      <c r="B285" s="24">
        <v>46575.0</v>
      </c>
      <c r="C285" s="23" t="s">
        <v>68</v>
      </c>
      <c r="D285" s="25" t="s">
        <v>319</v>
      </c>
      <c r="E285" s="25" t="s">
        <v>137</v>
      </c>
      <c r="F285" s="23">
        <v>40.0</v>
      </c>
      <c r="G285" s="26" t="s">
        <v>138</v>
      </c>
      <c r="H285" s="26" t="s">
        <v>306</v>
      </c>
      <c r="I285" s="26" t="s">
        <v>81</v>
      </c>
      <c r="J285" s="26" t="s">
        <v>140</v>
      </c>
    </row>
    <row r="286" ht="15.75" customHeight="1">
      <c r="A286" s="15">
        <v>40.0</v>
      </c>
      <c r="B286" s="24">
        <v>46576.0</v>
      </c>
      <c r="C286" s="15" t="s">
        <v>95</v>
      </c>
      <c r="D286" s="17" t="s">
        <v>319</v>
      </c>
      <c r="E286" s="17" t="s">
        <v>100</v>
      </c>
      <c r="F286" s="15">
        <v>0.0</v>
      </c>
      <c r="G286" s="18" t="s">
        <v>81</v>
      </c>
      <c r="H286" s="18" t="s">
        <v>107</v>
      </c>
      <c r="I286" s="18" t="s">
        <v>341</v>
      </c>
      <c r="J286" s="18"/>
    </row>
    <row r="287" ht="15.75" customHeight="1">
      <c r="A287" s="9">
        <v>40.0</v>
      </c>
      <c r="B287" s="24">
        <v>46577.0</v>
      </c>
      <c r="C287" s="9" t="s">
        <v>109</v>
      </c>
      <c r="D287" s="14" t="s">
        <v>319</v>
      </c>
      <c r="E287" s="14" t="s">
        <v>73</v>
      </c>
      <c r="F287" s="9">
        <v>35.0</v>
      </c>
      <c r="G287" s="13" t="s">
        <v>110</v>
      </c>
      <c r="H287" s="13" t="s">
        <v>241</v>
      </c>
      <c r="I287" s="13" t="s">
        <v>81</v>
      </c>
      <c r="J287" s="13" t="s">
        <v>134</v>
      </c>
    </row>
    <row r="288" ht="15.75" customHeight="1">
      <c r="A288" s="19">
        <v>40.0</v>
      </c>
      <c r="B288" s="24">
        <v>46578.0</v>
      </c>
      <c r="C288" s="19" t="s">
        <v>112</v>
      </c>
      <c r="D288" s="21" t="s">
        <v>319</v>
      </c>
      <c r="E288" s="21" t="s">
        <v>113</v>
      </c>
      <c r="F288" s="19">
        <v>90.0</v>
      </c>
      <c r="G288" s="22" t="s">
        <v>76</v>
      </c>
      <c r="H288" s="22" t="s">
        <v>300</v>
      </c>
      <c r="I288" s="22" t="s">
        <v>81</v>
      </c>
      <c r="J288" s="22" t="s">
        <v>273</v>
      </c>
    </row>
    <row r="289" ht="15.75" customHeight="1">
      <c r="A289" s="15">
        <v>41.0</v>
      </c>
      <c r="B289" s="24">
        <v>46579.0</v>
      </c>
      <c r="C289" s="15" t="s">
        <v>116</v>
      </c>
      <c r="D289" s="17" t="s">
        <v>319</v>
      </c>
      <c r="E289" s="17" t="s">
        <v>100</v>
      </c>
      <c r="F289" s="15">
        <v>0.0</v>
      </c>
      <c r="G289" s="18" t="s">
        <v>81</v>
      </c>
      <c r="H289" s="18" t="s">
        <v>117</v>
      </c>
      <c r="I289" s="18" t="s">
        <v>343</v>
      </c>
      <c r="J289" s="18"/>
    </row>
    <row r="290" ht="15.75" customHeight="1">
      <c r="A290" s="23">
        <v>41.0</v>
      </c>
      <c r="B290" s="24">
        <v>46580.0</v>
      </c>
      <c r="C290" s="23" t="s">
        <v>119</v>
      </c>
      <c r="D290" s="25" t="s">
        <v>319</v>
      </c>
      <c r="E290" s="25" t="s">
        <v>169</v>
      </c>
      <c r="F290" s="23">
        <v>32.0</v>
      </c>
      <c r="G290" s="26" t="s">
        <v>121</v>
      </c>
      <c r="H290" s="26" t="s">
        <v>170</v>
      </c>
      <c r="I290" s="26" t="s">
        <v>81</v>
      </c>
      <c r="J290" s="26" t="s">
        <v>123</v>
      </c>
    </row>
    <row r="291" ht="15.75" customHeight="1">
      <c r="A291" s="9">
        <v>41.0</v>
      </c>
      <c r="B291" s="24">
        <v>46581.0</v>
      </c>
      <c r="C291" s="9" t="s">
        <v>124</v>
      </c>
      <c r="D291" s="14" t="s">
        <v>319</v>
      </c>
      <c r="E291" s="14" t="s">
        <v>73</v>
      </c>
      <c r="F291" s="9">
        <v>35.0</v>
      </c>
      <c r="G291" s="13" t="s">
        <v>76</v>
      </c>
      <c r="H291" s="13" t="s">
        <v>247</v>
      </c>
      <c r="I291" s="13" t="s">
        <v>344</v>
      </c>
      <c r="J291" s="13"/>
    </row>
    <row r="292" ht="15.75" customHeight="1">
      <c r="A292" s="9">
        <v>41.0</v>
      </c>
      <c r="B292" s="24">
        <v>46582.0</v>
      </c>
      <c r="C292" s="9" t="s">
        <v>68</v>
      </c>
      <c r="D292" s="14" t="s">
        <v>319</v>
      </c>
      <c r="E292" s="14" t="s">
        <v>73</v>
      </c>
      <c r="F292" s="9">
        <v>30.0</v>
      </c>
      <c r="G292" s="13" t="s">
        <v>110</v>
      </c>
      <c r="H292" s="13" t="s">
        <v>111</v>
      </c>
      <c r="I292" s="13" t="s">
        <v>81</v>
      </c>
      <c r="J292" s="13" t="s">
        <v>313</v>
      </c>
    </row>
    <row r="293" ht="15.75" customHeight="1">
      <c r="A293" s="15">
        <v>41.0</v>
      </c>
      <c r="B293" s="24">
        <v>46583.0</v>
      </c>
      <c r="C293" s="15" t="s">
        <v>95</v>
      </c>
      <c r="D293" s="17" t="s">
        <v>319</v>
      </c>
      <c r="E293" s="17" t="s">
        <v>229</v>
      </c>
      <c r="F293" s="15">
        <v>0.0</v>
      </c>
      <c r="G293" s="18" t="s">
        <v>81</v>
      </c>
      <c r="H293" s="18" t="s">
        <v>314</v>
      </c>
      <c r="I293" s="18" t="s">
        <v>81</v>
      </c>
      <c r="J293" s="18"/>
    </row>
    <row r="294" ht="15.75" customHeight="1">
      <c r="A294" s="37">
        <v>41.0</v>
      </c>
      <c r="B294" s="24">
        <v>46584.0</v>
      </c>
      <c r="C294" s="37" t="s">
        <v>109</v>
      </c>
      <c r="D294" s="38" t="s">
        <v>319</v>
      </c>
      <c r="E294" s="38" t="s">
        <v>315</v>
      </c>
      <c r="F294" s="37">
        <v>60.0</v>
      </c>
      <c r="G294" s="39" t="s">
        <v>266</v>
      </c>
      <c r="H294" s="39" t="s">
        <v>345</v>
      </c>
      <c r="I294" s="39" t="s">
        <v>81</v>
      </c>
      <c r="J294" s="39" t="s">
        <v>346</v>
      </c>
    </row>
    <row r="295" ht="15.75" customHeight="1">
      <c r="A295" s="19">
        <v>41.0</v>
      </c>
      <c r="B295" s="24">
        <v>46585.0</v>
      </c>
      <c r="C295" s="19" t="s">
        <v>112</v>
      </c>
      <c r="D295" s="21" t="s">
        <v>319</v>
      </c>
      <c r="E295" s="21" t="s">
        <v>113</v>
      </c>
      <c r="F295" s="19">
        <v>45.0</v>
      </c>
      <c r="G295" s="22" t="s">
        <v>76</v>
      </c>
      <c r="H295" s="22" t="s">
        <v>233</v>
      </c>
      <c r="I295" s="22" t="s">
        <v>81</v>
      </c>
      <c r="J295" s="22" t="s">
        <v>347</v>
      </c>
    </row>
    <row r="296" ht="15.75" customHeight="1">
      <c r="A296" s="15">
        <v>42.0</v>
      </c>
      <c r="B296" s="24">
        <v>46586.0</v>
      </c>
      <c r="C296" s="15" t="s">
        <v>116</v>
      </c>
      <c r="D296" s="17" t="s">
        <v>348</v>
      </c>
      <c r="E296" s="17" t="s">
        <v>100</v>
      </c>
      <c r="F296" s="15">
        <v>0.0</v>
      </c>
      <c r="G296" s="18" t="s">
        <v>81</v>
      </c>
      <c r="H296" s="18" t="s">
        <v>117</v>
      </c>
      <c r="I296" s="18" t="s">
        <v>349</v>
      </c>
      <c r="J296" s="18"/>
    </row>
    <row r="297" ht="15.75" customHeight="1">
      <c r="A297" s="23">
        <v>42.0</v>
      </c>
      <c r="B297" s="24">
        <v>46587.0</v>
      </c>
      <c r="C297" s="23" t="s">
        <v>119</v>
      </c>
      <c r="D297" s="25" t="s">
        <v>348</v>
      </c>
      <c r="E297" s="25" t="s">
        <v>120</v>
      </c>
      <c r="F297" s="23">
        <v>40.0</v>
      </c>
      <c r="G297" s="26" t="s">
        <v>121</v>
      </c>
      <c r="H297" s="26" t="s">
        <v>280</v>
      </c>
      <c r="I297" s="26" t="s">
        <v>81</v>
      </c>
      <c r="J297" s="26" t="s">
        <v>305</v>
      </c>
    </row>
    <row r="298" ht="15.75" customHeight="1">
      <c r="A298" s="9">
        <v>42.0</v>
      </c>
      <c r="B298" s="24">
        <v>46588.0</v>
      </c>
      <c r="C298" s="9" t="s">
        <v>124</v>
      </c>
      <c r="D298" s="14" t="s">
        <v>348</v>
      </c>
      <c r="E298" s="14" t="s">
        <v>73</v>
      </c>
      <c r="F298" s="9">
        <v>40.0</v>
      </c>
      <c r="G298" s="13" t="s">
        <v>110</v>
      </c>
      <c r="H298" s="13" t="s">
        <v>281</v>
      </c>
      <c r="I298" s="13" t="s">
        <v>350</v>
      </c>
      <c r="J298" s="13"/>
    </row>
    <row r="299" ht="15.75" customHeight="1">
      <c r="A299" s="23">
        <v>42.0</v>
      </c>
      <c r="B299" s="24">
        <v>46589.0</v>
      </c>
      <c r="C299" s="23" t="s">
        <v>68</v>
      </c>
      <c r="D299" s="25" t="s">
        <v>348</v>
      </c>
      <c r="E299" s="25" t="s">
        <v>137</v>
      </c>
      <c r="F299" s="23">
        <v>40.0</v>
      </c>
      <c r="G299" s="26" t="s">
        <v>138</v>
      </c>
      <c r="H299" s="26" t="s">
        <v>351</v>
      </c>
      <c r="I299" s="26" t="s">
        <v>81</v>
      </c>
      <c r="J299" s="26" t="s">
        <v>140</v>
      </c>
    </row>
    <row r="300" ht="15.75" customHeight="1">
      <c r="A300" s="15">
        <v>42.0</v>
      </c>
      <c r="B300" s="24">
        <v>46590.0</v>
      </c>
      <c r="C300" s="15" t="s">
        <v>95</v>
      </c>
      <c r="D300" s="17" t="s">
        <v>348</v>
      </c>
      <c r="E300" s="17" t="s">
        <v>100</v>
      </c>
      <c r="F300" s="15">
        <v>0.0</v>
      </c>
      <c r="G300" s="18" t="s">
        <v>81</v>
      </c>
      <c r="H300" s="18" t="s">
        <v>107</v>
      </c>
      <c r="I300" s="18" t="s">
        <v>352</v>
      </c>
      <c r="J300" s="18"/>
    </row>
    <row r="301" ht="15.75" customHeight="1">
      <c r="A301" s="9">
        <v>42.0</v>
      </c>
      <c r="B301" s="24">
        <v>46591.0</v>
      </c>
      <c r="C301" s="9" t="s">
        <v>109</v>
      </c>
      <c r="D301" s="14" t="s">
        <v>348</v>
      </c>
      <c r="E301" s="14" t="s">
        <v>73</v>
      </c>
      <c r="F301" s="9">
        <v>35.0</v>
      </c>
      <c r="G301" s="13" t="s">
        <v>110</v>
      </c>
      <c r="H301" s="13" t="s">
        <v>241</v>
      </c>
      <c r="I301" s="13" t="s">
        <v>81</v>
      </c>
      <c r="J301" s="13" t="s">
        <v>134</v>
      </c>
    </row>
    <row r="302" ht="15.75" customHeight="1">
      <c r="A302" s="19">
        <v>42.0</v>
      </c>
      <c r="B302" s="24">
        <v>46592.0</v>
      </c>
      <c r="C302" s="19" t="s">
        <v>112</v>
      </c>
      <c r="D302" s="21" t="s">
        <v>348</v>
      </c>
      <c r="E302" s="21" t="s">
        <v>113</v>
      </c>
      <c r="F302" s="19">
        <v>90.0</v>
      </c>
      <c r="G302" s="22" t="s">
        <v>76</v>
      </c>
      <c r="H302" s="22" t="s">
        <v>300</v>
      </c>
      <c r="I302" s="22" t="s">
        <v>81</v>
      </c>
      <c r="J302" s="22" t="s">
        <v>273</v>
      </c>
    </row>
    <row r="303" ht="15.75" customHeight="1">
      <c r="A303" s="15">
        <v>43.0</v>
      </c>
      <c r="B303" s="24">
        <v>46593.0</v>
      </c>
      <c r="C303" s="15" t="s">
        <v>116</v>
      </c>
      <c r="D303" s="17" t="s">
        <v>348</v>
      </c>
      <c r="E303" s="17" t="s">
        <v>100</v>
      </c>
      <c r="F303" s="15">
        <v>0.0</v>
      </c>
      <c r="G303" s="18" t="s">
        <v>81</v>
      </c>
      <c r="H303" s="18" t="s">
        <v>117</v>
      </c>
      <c r="I303" s="18" t="s">
        <v>353</v>
      </c>
      <c r="J303" s="18"/>
    </row>
    <row r="304" ht="15.75" customHeight="1">
      <c r="A304" s="23">
        <v>43.0</v>
      </c>
      <c r="B304" s="24">
        <v>46594.0</v>
      </c>
      <c r="C304" s="23" t="s">
        <v>119</v>
      </c>
      <c r="D304" s="25" t="s">
        <v>348</v>
      </c>
      <c r="E304" s="25" t="s">
        <v>120</v>
      </c>
      <c r="F304" s="23">
        <v>40.0</v>
      </c>
      <c r="G304" s="26" t="s">
        <v>121</v>
      </c>
      <c r="H304" s="26" t="s">
        <v>288</v>
      </c>
      <c r="I304" s="26" t="s">
        <v>81</v>
      </c>
      <c r="J304" s="26" t="s">
        <v>305</v>
      </c>
    </row>
    <row r="305" ht="15.75" customHeight="1">
      <c r="A305" s="9">
        <v>43.0</v>
      </c>
      <c r="B305" s="24">
        <v>46595.0</v>
      </c>
      <c r="C305" s="9" t="s">
        <v>124</v>
      </c>
      <c r="D305" s="14" t="s">
        <v>348</v>
      </c>
      <c r="E305" s="14" t="s">
        <v>73</v>
      </c>
      <c r="F305" s="9">
        <v>40.0</v>
      </c>
      <c r="G305" s="13" t="s">
        <v>76</v>
      </c>
      <c r="H305" s="13" t="s">
        <v>289</v>
      </c>
      <c r="I305" s="13" t="s">
        <v>350</v>
      </c>
      <c r="J305" s="13"/>
    </row>
    <row r="306" ht="15.75" customHeight="1">
      <c r="A306" s="23">
        <v>43.0</v>
      </c>
      <c r="B306" s="24">
        <v>46596.0</v>
      </c>
      <c r="C306" s="23" t="s">
        <v>68</v>
      </c>
      <c r="D306" s="25" t="s">
        <v>348</v>
      </c>
      <c r="E306" s="25" t="s">
        <v>126</v>
      </c>
      <c r="F306" s="23">
        <v>38.0</v>
      </c>
      <c r="G306" s="26" t="s">
        <v>127</v>
      </c>
      <c r="H306" s="26" t="s">
        <v>342</v>
      </c>
      <c r="I306" s="26" t="s">
        <v>81</v>
      </c>
      <c r="J306" s="26" t="s">
        <v>129</v>
      </c>
    </row>
    <row r="307" ht="15.75" customHeight="1">
      <c r="A307" s="15">
        <v>43.0</v>
      </c>
      <c r="B307" s="24">
        <v>46597.0</v>
      </c>
      <c r="C307" s="15" t="s">
        <v>95</v>
      </c>
      <c r="D307" s="17" t="s">
        <v>348</v>
      </c>
      <c r="E307" s="17" t="s">
        <v>100</v>
      </c>
      <c r="F307" s="15">
        <v>0.0</v>
      </c>
      <c r="G307" s="18" t="s">
        <v>81</v>
      </c>
      <c r="H307" s="18" t="s">
        <v>107</v>
      </c>
      <c r="I307" s="18" t="s">
        <v>352</v>
      </c>
      <c r="J307" s="18"/>
    </row>
    <row r="308" ht="15.75" customHeight="1">
      <c r="A308" s="9">
        <v>43.0</v>
      </c>
      <c r="B308" s="24">
        <v>46598.0</v>
      </c>
      <c r="C308" s="9" t="s">
        <v>109</v>
      </c>
      <c r="D308" s="14" t="s">
        <v>348</v>
      </c>
      <c r="E308" s="14" t="s">
        <v>73</v>
      </c>
      <c r="F308" s="9">
        <v>35.0</v>
      </c>
      <c r="G308" s="13" t="s">
        <v>110</v>
      </c>
      <c r="H308" s="13" t="s">
        <v>241</v>
      </c>
      <c r="I308" s="13" t="s">
        <v>81</v>
      </c>
      <c r="J308" s="13" t="s">
        <v>134</v>
      </c>
    </row>
    <row r="309" ht="15.75" customHeight="1">
      <c r="A309" s="19">
        <v>43.0</v>
      </c>
      <c r="B309" s="24">
        <v>46599.0</v>
      </c>
      <c r="C309" s="19" t="s">
        <v>112</v>
      </c>
      <c r="D309" s="21" t="s">
        <v>348</v>
      </c>
      <c r="E309" s="21" t="s">
        <v>113</v>
      </c>
      <c r="F309" s="19">
        <v>85.0</v>
      </c>
      <c r="G309" s="22" t="s">
        <v>76</v>
      </c>
      <c r="H309" s="22" t="s">
        <v>293</v>
      </c>
      <c r="I309" s="22" t="s">
        <v>81</v>
      </c>
      <c r="J309" s="22" t="s">
        <v>273</v>
      </c>
    </row>
    <row r="310" ht="15.75" customHeight="1">
      <c r="A310" s="15">
        <v>44.0</v>
      </c>
      <c r="B310" s="24">
        <v>46600.0</v>
      </c>
      <c r="C310" s="15" t="s">
        <v>116</v>
      </c>
      <c r="D310" s="17" t="s">
        <v>348</v>
      </c>
      <c r="E310" s="17" t="s">
        <v>100</v>
      </c>
      <c r="F310" s="15">
        <v>0.0</v>
      </c>
      <c r="G310" s="18" t="s">
        <v>81</v>
      </c>
      <c r="H310" s="18" t="s">
        <v>117</v>
      </c>
      <c r="I310" s="18" t="s">
        <v>354</v>
      </c>
      <c r="J310" s="18"/>
    </row>
    <row r="311" ht="15.75" customHeight="1">
      <c r="A311" s="23">
        <v>44.0</v>
      </c>
      <c r="B311" s="24">
        <v>46601.0</v>
      </c>
      <c r="C311" s="23" t="s">
        <v>119</v>
      </c>
      <c r="D311" s="25" t="s">
        <v>348</v>
      </c>
      <c r="E311" s="25" t="s">
        <v>120</v>
      </c>
      <c r="F311" s="23">
        <v>40.0</v>
      </c>
      <c r="G311" s="26" t="s">
        <v>121</v>
      </c>
      <c r="H311" s="26" t="s">
        <v>308</v>
      </c>
      <c r="I311" s="26" t="s">
        <v>81</v>
      </c>
      <c r="J311" s="26" t="s">
        <v>305</v>
      </c>
    </row>
    <row r="312" ht="15.75" customHeight="1">
      <c r="A312" s="9">
        <v>44.0</v>
      </c>
      <c r="B312" s="24">
        <v>46602.0</v>
      </c>
      <c r="C312" s="9" t="s">
        <v>124</v>
      </c>
      <c r="D312" s="14" t="s">
        <v>348</v>
      </c>
      <c r="E312" s="14" t="s">
        <v>73</v>
      </c>
      <c r="F312" s="9">
        <v>40.0</v>
      </c>
      <c r="G312" s="13" t="s">
        <v>110</v>
      </c>
      <c r="H312" s="13" t="s">
        <v>281</v>
      </c>
      <c r="I312" s="13" t="s">
        <v>350</v>
      </c>
      <c r="J312" s="13"/>
    </row>
    <row r="313" ht="15.75" customHeight="1">
      <c r="A313" s="23">
        <v>44.0</v>
      </c>
      <c r="B313" s="24">
        <v>46603.0</v>
      </c>
      <c r="C313" s="23" t="s">
        <v>68</v>
      </c>
      <c r="D313" s="25" t="s">
        <v>348</v>
      </c>
      <c r="E313" s="25" t="s">
        <v>137</v>
      </c>
      <c r="F313" s="23">
        <v>40.0</v>
      </c>
      <c r="G313" s="26" t="s">
        <v>138</v>
      </c>
      <c r="H313" s="26" t="s">
        <v>283</v>
      </c>
      <c r="I313" s="26" t="s">
        <v>81</v>
      </c>
      <c r="J313" s="26" t="s">
        <v>140</v>
      </c>
    </row>
    <row r="314" ht="15.75" customHeight="1">
      <c r="A314" s="15">
        <v>44.0</v>
      </c>
      <c r="B314" s="24">
        <v>46604.0</v>
      </c>
      <c r="C314" s="15" t="s">
        <v>95</v>
      </c>
      <c r="D314" s="17" t="s">
        <v>348</v>
      </c>
      <c r="E314" s="17" t="s">
        <v>100</v>
      </c>
      <c r="F314" s="15">
        <v>0.0</v>
      </c>
      <c r="G314" s="18" t="s">
        <v>81</v>
      </c>
      <c r="H314" s="18" t="s">
        <v>107</v>
      </c>
      <c r="I314" s="18" t="s">
        <v>352</v>
      </c>
      <c r="J314" s="18"/>
    </row>
    <row r="315" ht="15.75" customHeight="1">
      <c r="A315" s="9">
        <v>44.0</v>
      </c>
      <c r="B315" s="24">
        <v>46605.0</v>
      </c>
      <c r="C315" s="9" t="s">
        <v>109</v>
      </c>
      <c r="D315" s="14" t="s">
        <v>348</v>
      </c>
      <c r="E315" s="14" t="s">
        <v>73</v>
      </c>
      <c r="F315" s="9">
        <v>35.0</v>
      </c>
      <c r="G315" s="13" t="s">
        <v>110</v>
      </c>
      <c r="H315" s="13" t="s">
        <v>241</v>
      </c>
      <c r="I315" s="13" t="s">
        <v>81</v>
      </c>
      <c r="J315" s="13" t="s">
        <v>134</v>
      </c>
    </row>
    <row r="316" ht="15.75" customHeight="1">
      <c r="A316" s="19">
        <v>44.0</v>
      </c>
      <c r="B316" s="24">
        <v>46606.0</v>
      </c>
      <c r="C316" s="19" t="s">
        <v>112</v>
      </c>
      <c r="D316" s="21" t="s">
        <v>348</v>
      </c>
      <c r="E316" s="21" t="s">
        <v>113</v>
      </c>
      <c r="F316" s="19">
        <v>90.0</v>
      </c>
      <c r="G316" s="22" t="s">
        <v>76</v>
      </c>
      <c r="H316" s="22" t="s">
        <v>300</v>
      </c>
      <c r="I316" s="22" t="s">
        <v>81</v>
      </c>
      <c r="J316" s="22" t="s">
        <v>273</v>
      </c>
    </row>
    <row r="317" ht="15.75" customHeight="1">
      <c r="A317" s="15">
        <v>45.0</v>
      </c>
      <c r="B317" s="24">
        <v>46607.0</v>
      </c>
      <c r="C317" s="15" t="s">
        <v>116</v>
      </c>
      <c r="D317" s="17" t="s">
        <v>348</v>
      </c>
      <c r="E317" s="17" t="s">
        <v>100</v>
      </c>
      <c r="F317" s="15">
        <v>0.0</v>
      </c>
      <c r="G317" s="18" t="s">
        <v>81</v>
      </c>
      <c r="H317" s="18" t="s">
        <v>117</v>
      </c>
      <c r="I317" s="18" t="s">
        <v>355</v>
      </c>
      <c r="J317" s="18"/>
    </row>
    <row r="318" ht="15.75" customHeight="1">
      <c r="A318" s="23">
        <v>45.0</v>
      </c>
      <c r="B318" s="24">
        <v>46608.0</v>
      </c>
      <c r="C318" s="23" t="s">
        <v>119</v>
      </c>
      <c r="D318" s="25" t="s">
        <v>348</v>
      </c>
      <c r="E318" s="25" t="s">
        <v>169</v>
      </c>
      <c r="F318" s="23">
        <v>35.0</v>
      </c>
      <c r="G318" s="26" t="s">
        <v>121</v>
      </c>
      <c r="H318" s="26" t="s">
        <v>258</v>
      </c>
      <c r="I318" s="26" t="s">
        <v>81</v>
      </c>
      <c r="J318" s="26" t="s">
        <v>123</v>
      </c>
    </row>
    <row r="319" ht="15.75" customHeight="1">
      <c r="A319" s="9">
        <v>45.0</v>
      </c>
      <c r="B319" s="24">
        <v>46609.0</v>
      </c>
      <c r="C319" s="9" t="s">
        <v>124</v>
      </c>
      <c r="D319" s="14" t="s">
        <v>348</v>
      </c>
      <c r="E319" s="14" t="s">
        <v>73</v>
      </c>
      <c r="F319" s="9">
        <v>35.0</v>
      </c>
      <c r="G319" s="13" t="s">
        <v>76</v>
      </c>
      <c r="H319" s="13" t="s">
        <v>247</v>
      </c>
      <c r="I319" s="13" t="s">
        <v>357</v>
      </c>
      <c r="J319" s="13"/>
    </row>
    <row r="320" ht="15.75" customHeight="1">
      <c r="A320" s="23">
        <v>45.0</v>
      </c>
      <c r="B320" s="24">
        <v>46610.0</v>
      </c>
      <c r="C320" s="23" t="s">
        <v>68</v>
      </c>
      <c r="D320" s="25" t="s">
        <v>348</v>
      </c>
      <c r="E320" s="25" t="s">
        <v>126</v>
      </c>
      <c r="F320" s="23">
        <v>38.0</v>
      </c>
      <c r="G320" s="26" t="s">
        <v>127</v>
      </c>
      <c r="H320" s="26" t="s">
        <v>358</v>
      </c>
      <c r="I320" s="26" t="s">
        <v>81</v>
      </c>
      <c r="J320" s="26" t="s">
        <v>129</v>
      </c>
    </row>
    <row r="321" ht="15.75" customHeight="1">
      <c r="A321" s="15">
        <v>45.0</v>
      </c>
      <c r="B321" s="24">
        <v>46611.0</v>
      </c>
      <c r="C321" s="15" t="s">
        <v>95</v>
      </c>
      <c r="D321" s="17" t="s">
        <v>348</v>
      </c>
      <c r="E321" s="17" t="s">
        <v>100</v>
      </c>
      <c r="F321" s="15">
        <v>0.0</v>
      </c>
      <c r="G321" s="18" t="s">
        <v>81</v>
      </c>
      <c r="H321" s="18" t="s">
        <v>107</v>
      </c>
      <c r="I321" s="18" t="s">
        <v>359</v>
      </c>
      <c r="J321" s="18"/>
    </row>
    <row r="322" ht="15.75" customHeight="1">
      <c r="A322" s="9">
        <v>45.0</v>
      </c>
      <c r="B322" s="24">
        <v>46612.0</v>
      </c>
      <c r="C322" s="9" t="s">
        <v>109</v>
      </c>
      <c r="D322" s="14" t="s">
        <v>348</v>
      </c>
      <c r="E322" s="14" t="s">
        <v>73</v>
      </c>
      <c r="F322" s="9">
        <v>30.0</v>
      </c>
      <c r="G322" s="13" t="s">
        <v>110</v>
      </c>
      <c r="H322" s="13" t="s">
        <v>235</v>
      </c>
      <c r="I322" s="13" t="s">
        <v>81</v>
      </c>
      <c r="J322" s="13" t="s">
        <v>134</v>
      </c>
    </row>
    <row r="323" ht="15.75" customHeight="1">
      <c r="A323" s="19">
        <v>45.0</v>
      </c>
      <c r="B323" s="24">
        <v>46613.0</v>
      </c>
      <c r="C323" s="19" t="s">
        <v>112</v>
      </c>
      <c r="D323" s="21" t="s">
        <v>348</v>
      </c>
      <c r="E323" s="21" t="s">
        <v>113</v>
      </c>
      <c r="F323" s="19">
        <v>65.0</v>
      </c>
      <c r="G323" s="22" t="s">
        <v>76</v>
      </c>
      <c r="H323" s="22" t="s">
        <v>161</v>
      </c>
      <c r="I323" s="22" t="s">
        <v>81</v>
      </c>
      <c r="J323" s="22"/>
    </row>
    <row r="324" ht="15.75" customHeight="1">
      <c r="A324" s="15">
        <v>46.0</v>
      </c>
      <c r="B324" s="24">
        <v>46614.0</v>
      </c>
      <c r="C324" s="15" t="s">
        <v>116</v>
      </c>
      <c r="D324" s="17" t="s">
        <v>348</v>
      </c>
      <c r="E324" s="17" t="s">
        <v>100</v>
      </c>
      <c r="F324" s="15">
        <v>0.0</v>
      </c>
      <c r="G324" s="18" t="s">
        <v>81</v>
      </c>
      <c r="H324" s="18" t="s">
        <v>117</v>
      </c>
      <c r="I324" s="18" t="s">
        <v>349</v>
      </c>
      <c r="J324" s="18"/>
    </row>
    <row r="325" ht="15.75" customHeight="1">
      <c r="A325" s="23">
        <v>46.0</v>
      </c>
      <c r="B325" s="24">
        <v>46615.0</v>
      </c>
      <c r="C325" s="23" t="s">
        <v>119</v>
      </c>
      <c r="D325" s="25" t="s">
        <v>348</v>
      </c>
      <c r="E325" s="25" t="s">
        <v>120</v>
      </c>
      <c r="F325" s="23">
        <v>40.0</v>
      </c>
      <c r="G325" s="26" t="s">
        <v>121</v>
      </c>
      <c r="H325" s="26" t="s">
        <v>280</v>
      </c>
      <c r="I325" s="26" t="s">
        <v>81</v>
      </c>
      <c r="J325" s="26" t="s">
        <v>305</v>
      </c>
    </row>
    <row r="326" ht="15.75" customHeight="1">
      <c r="A326" s="9">
        <v>46.0</v>
      </c>
      <c r="B326" s="24">
        <v>46616.0</v>
      </c>
      <c r="C326" s="9" t="s">
        <v>124</v>
      </c>
      <c r="D326" s="14" t="s">
        <v>348</v>
      </c>
      <c r="E326" s="14" t="s">
        <v>73</v>
      </c>
      <c r="F326" s="9">
        <v>40.0</v>
      </c>
      <c r="G326" s="13" t="s">
        <v>110</v>
      </c>
      <c r="H326" s="13" t="s">
        <v>281</v>
      </c>
      <c r="I326" s="13" t="s">
        <v>350</v>
      </c>
      <c r="J326" s="13"/>
    </row>
    <row r="327" ht="15.75" customHeight="1">
      <c r="A327" s="23">
        <v>46.0</v>
      </c>
      <c r="B327" s="24">
        <v>46617.0</v>
      </c>
      <c r="C327" s="23" t="s">
        <v>68</v>
      </c>
      <c r="D327" s="25" t="s">
        <v>348</v>
      </c>
      <c r="E327" s="25" t="s">
        <v>137</v>
      </c>
      <c r="F327" s="23">
        <v>40.0</v>
      </c>
      <c r="G327" s="26" t="s">
        <v>138</v>
      </c>
      <c r="H327" s="26" t="s">
        <v>298</v>
      </c>
      <c r="I327" s="26" t="s">
        <v>81</v>
      </c>
      <c r="J327" s="26" t="s">
        <v>140</v>
      </c>
    </row>
    <row r="328" ht="15.75" customHeight="1">
      <c r="A328" s="15">
        <v>46.0</v>
      </c>
      <c r="B328" s="24">
        <v>46618.0</v>
      </c>
      <c r="C328" s="15" t="s">
        <v>95</v>
      </c>
      <c r="D328" s="17" t="s">
        <v>348</v>
      </c>
      <c r="E328" s="17" t="s">
        <v>100</v>
      </c>
      <c r="F328" s="15">
        <v>0.0</v>
      </c>
      <c r="G328" s="18" t="s">
        <v>81</v>
      </c>
      <c r="H328" s="18" t="s">
        <v>107</v>
      </c>
      <c r="I328" s="18" t="s">
        <v>352</v>
      </c>
      <c r="J328" s="18"/>
    </row>
    <row r="329" ht="15.75" customHeight="1">
      <c r="A329" s="9">
        <v>46.0</v>
      </c>
      <c r="B329" s="24">
        <v>46619.0</v>
      </c>
      <c r="C329" s="9" t="s">
        <v>109</v>
      </c>
      <c r="D329" s="14" t="s">
        <v>348</v>
      </c>
      <c r="E329" s="14" t="s">
        <v>73</v>
      </c>
      <c r="F329" s="9">
        <v>35.0</v>
      </c>
      <c r="G329" s="13" t="s">
        <v>110</v>
      </c>
      <c r="H329" s="13" t="s">
        <v>241</v>
      </c>
      <c r="I329" s="13" t="s">
        <v>81</v>
      </c>
      <c r="J329" s="13" t="s">
        <v>134</v>
      </c>
    </row>
    <row r="330" ht="15.75" customHeight="1">
      <c r="A330" s="19">
        <v>46.0</v>
      </c>
      <c r="B330" s="24">
        <v>46620.0</v>
      </c>
      <c r="C330" s="19" t="s">
        <v>112</v>
      </c>
      <c r="D330" s="21" t="s">
        <v>348</v>
      </c>
      <c r="E330" s="21" t="s">
        <v>113</v>
      </c>
      <c r="F330" s="19">
        <v>90.0</v>
      </c>
      <c r="G330" s="22" t="s">
        <v>76</v>
      </c>
      <c r="H330" s="22" t="s">
        <v>300</v>
      </c>
      <c r="I330" s="22" t="s">
        <v>81</v>
      </c>
      <c r="J330" s="22" t="s">
        <v>273</v>
      </c>
    </row>
    <row r="331" ht="15.75" customHeight="1">
      <c r="A331" s="15">
        <v>47.0</v>
      </c>
      <c r="B331" s="24">
        <v>46621.0</v>
      </c>
      <c r="C331" s="15" t="s">
        <v>116</v>
      </c>
      <c r="D331" s="17" t="s">
        <v>348</v>
      </c>
      <c r="E331" s="17" t="s">
        <v>100</v>
      </c>
      <c r="F331" s="15">
        <v>0.0</v>
      </c>
      <c r="G331" s="18" t="s">
        <v>81</v>
      </c>
      <c r="H331" s="18" t="s">
        <v>117</v>
      </c>
      <c r="I331" s="18" t="s">
        <v>353</v>
      </c>
      <c r="J331" s="18"/>
    </row>
    <row r="332" ht="15.75" customHeight="1">
      <c r="A332" s="23">
        <v>47.0</v>
      </c>
      <c r="B332" s="24">
        <v>46622.0</v>
      </c>
      <c r="C332" s="23" t="s">
        <v>119</v>
      </c>
      <c r="D332" s="25" t="s">
        <v>348</v>
      </c>
      <c r="E332" s="25" t="s">
        <v>120</v>
      </c>
      <c r="F332" s="23">
        <v>40.0</v>
      </c>
      <c r="G332" s="26" t="s">
        <v>121</v>
      </c>
      <c r="H332" s="26" t="s">
        <v>288</v>
      </c>
      <c r="I332" s="26" t="s">
        <v>81</v>
      </c>
      <c r="J332" s="26" t="s">
        <v>305</v>
      </c>
    </row>
    <row r="333" ht="15.75" customHeight="1">
      <c r="A333" s="9">
        <v>47.0</v>
      </c>
      <c r="B333" s="24">
        <v>46623.0</v>
      </c>
      <c r="C333" s="9" t="s">
        <v>124</v>
      </c>
      <c r="D333" s="14" t="s">
        <v>348</v>
      </c>
      <c r="E333" s="14" t="s">
        <v>73</v>
      </c>
      <c r="F333" s="9">
        <v>40.0</v>
      </c>
      <c r="G333" s="13" t="s">
        <v>76</v>
      </c>
      <c r="H333" s="13" t="s">
        <v>289</v>
      </c>
      <c r="I333" s="13" t="s">
        <v>350</v>
      </c>
      <c r="J333" s="13"/>
    </row>
    <row r="334" ht="15.75" customHeight="1">
      <c r="A334" s="23">
        <v>47.0</v>
      </c>
      <c r="B334" s="24">
        <v>46624.0</v>
      </c>
      <c r="C334" s="23" t="s">
        <v>68</v>
      </c>
      <c r="D334" s="25" t="s">
        <v>348</v>
      </c>
      <c r="E334" s="25" t="s">
        <v>126</v>
      </c>
      <c r="F334" s="23">
        <v>38.0</v>
      </c>
      <c r="G334" s="26" t="s">
        <v>127</v>
      </c>
      <c r="H334" s="26" t="s">
        <v>362</v>
      </c>
      <c r="I334" s="26" t="s">
        <v>81</v>
      </c>
      <c r="J334" s="26" t="s">
        <v>129</v>
      </c>
    </row>
    <row r="335" ht="15.75" customHeight="1">
      <c r="A335" s="15">
        <v>47.0</v>
      </c>
      <c r="B335" s="24">
        <v>46625.0</v>
      </c>
      <c r="C335" s="15" t="s">
        <v>95</v>
      </c>
      <c r="D335" s="17" t="s">
        <v>348</v>
      </c>
      <c r="E335" s="17" t="s">
        <v>100</v>
      </c>
      <c r="F335" s="15">
        <v>0.0</v>
      </c>
      <c r="G335" s="18" t="s">
        <v>81</v>
      </c>
      <c r="H335" s="18" t="s">
        <v>107</v>
      </c>
      <c r="I335" s="18" t="s">
        <v>352</v>
      </c>
      <c r="J335" s="18"/>
    </row>
    <row r="336" ht="15.75" customHeight="1">
      <c r="A336" s="9">
        <v>47.0</v>
      </c>
      <c r="B336" s="24">
        <v>46626.0</v>
      </c>
      <c r="C336" s="9" t="s">
        <v>109</v>
      </c>
      <c r="D336" s="14" t="s">
        <v>348</v>
      </c>
      <c r="E336" s="14" t="s">
        <v>73</v>
      </c>
      <c r="F336" s="9">
        <v>35.0</v>
      </c>
      <c r="G336" s="13" t="s">
        <v>110</v>
      </c>
      <c r="H336" s="13" t="s">
        <v>241</v>
      </c>
      <c r="I336" s="13" t="s">
        <v>81</v>
      </c>
      <c r="J336" s="13" t="s">
        <v>134</v>
      </c>
    </row>
    <row r="337" ht="15.75" customHeight="1">
      <c r="A337" s="19">
        <v>47.0</v>
      </c>
      <c r="B337" s="24">
        <v>46627.0</v>
      </c>
      <c r="C337" s="19" t="s">
        <v>112</v>
      </c>
      <c r="D337" s="21" t="s">
        <v>348</v>
      </c>
      <c r="E337" s="21" t="s">
        <v>113</v>
      </c>
      <c r="F337" s="19">
        <v>85.0</v>
      </c>
      <c r="G337" s="22" t="s">
        <v>76</v>
      </c>
      <c r="H337" s="22" t="s">
        <v>293</v>
      </c>
      <c r="I337" s="22" t="s">
        <v>81</v>
      </c>
      <c r="J337" s="22" t="s">
        <v>273</v>
      </c>
    </row>
    <row r="338" ht="15.75" customHeight="1">
      <c r="A338" s="15">
        <v>48.0</v>
      </c>
      <c r="B338" s="24">
        <v>46628.0</v>
      </c>
      <c r="C338" s="15" t="s">
        <v>116</v>
      </c>
      <c r="D338" s="17" t="s">
        <v>348</v>
      </c>
      <c r="E338" s="17" t="s">
        <v>100</v>
      </c>
      <c r="F338" s="15">
        <v>0.0</v>
      </c>
      <c r="G338" s="18" t="s">
        <v>81</v>
      </c>
      <c r="H338" s="18" t="s">
        <v>117</v>
      </c>
      <c r="I338" s="18" t="s">
        <v>354</v>
      </c>
      <c r="J338" s="18"/>
    </row>
    <row r="339" ht="15.75" customHeight="1">
      <c r="A339" s="23">
        <v>48.0</v>
      </c>
      <c r="B339" s="24">
        <v>46629.0</v>
      </c>
      <c r="C339" s="23" t="s">
        <v>119</v>
      </c>
      <c r="D339" s="25" t="s">
        <v>348</v>
      </c>
      <c r="E339" s="25" t="s">
        <v>120</v>
      </c>
      <c r="F339" s="23">
        <v>40.0</v>
      </c>
      <c r="G339" s="26" t="s">
        <v>121</v>
      </c>
      <c r="H339" s="26" t="s">
        <v>308</v>
      </c>
      <c r="I339" s="26" t="s">
        <v>81</v>
      </c>
      <c r="J339" s="26" t="s">
        <v>305</v>
      </c>
    </row>
    <row r="340" ht="15.75" customHeight="1">
      <c r="A340" s="9">
        <v>48.0</v>
      </c>
      <c r="B340" s="24">
        <v>46630.0</v>
      </c>
      <c r="C340" s="9" t="s">
        <v>124</v>
      </c>
      <c r="D340" s="14" t="s">
        <v>348</v>
      </c>
      <c r="E340" s="14" t="s">
        <v>73</v>
      </c>
      <c r="F340" s="9">
        <v>40.0</v>
      </c>
      <c r="G340" s="13" t="s">
        <v>110</v>
      </c>
      <c r="H340" s="13" t="s">
        <v>281</v>
      </c>
      <c r="I340" s="13" t="s">
        <v>350</v>
      </c>
      <c r="J340" s="13"/>
    </row>
    <row r="341" ht="15.75" customHeight="1">
      <c r="A341" s="23">
        <v>48.0</v>
      </c>
      <c r="B341" s="24">
        <v>46631.0</v>
      </c>
      <c r="C341" s="23" t="s">
        <v>68</v>
      </c>
      <c r="D341" s="25" t="s">
        <v>348</v>
      </c>
      <c r="E341" s="25" t="s">
        <v>137</v>
      </c>
      <c r="F341" s="23">
        <v>40.0</v>
      </c>
      <c r="G341" s="26" t="s">
        <v>138</v>
      </c>
      <c r="H341" s="26" t="s">
        <v>329</v>
      </c>
      <c r="I341" s="26" t="s">
        <v>81</v>
      </c>
      <c r="J341" s="26" t="s">
        <v>140</v>
      </c>
    </row>
    <row r="342" ht="15.75" customHeight="1">
      <c r="A342" s="15">
        <v>48.0</v>
      </c>
      <c r="B342" s="24">
        <v>46632.0</v>
      </c>
      <c r="C342" s="15" t="s">
        <v>95</v>
      </c>
      <c r="D342" s="17" t="s">
        <v>348</v>
      </c>
      <c r="E342" s="17" t="s">
        <v>100</v>
      </c>
      <c r="F342" s="15">
        <v>0.0</v>
      </c>
      <c r="G342" s="18" t="s">
        <v>81</v>
      </c>
      <c r="H342" s="18" t="s">
        <v>107</v>
      </c>
      <c r="I342" s="18" t="s">
        <v>352</v>
      </c>
      <c r="J342" s="18"/>
    </row>
    <row r="343" ht="15.75" customHeight="1">
      <c r="A343" s="9">
        <v>48.0</v>
      </c>
      <c r="B343" s="24">
        <v>46633.0</v>
      </c>
      <c r="C343" s="9" t="s">
        <v>109</v>
      </c>
      <c r="D343" s="14" t="s">
        <v>348</v>
      </c>
      <c r="E343" s="14" t="s">
        <v>73</v>
      </c>
      <c r="F343" s="9">
        <v>35.0</v>
      </c>
      <c r="G343" s="13" t="s">
        <v>110</v>
      </c>
      <c r="H343" s="13" t="s">
        <v>241</v>
      </c>
      <c r="I343" s="13" t="s">
        <v>81</v>
      </c>
      <c r="J343" s="13" t="s">
        <v>134</v>
      </c>
    </row>
    <row r="344" ht="15.75" customHeight="1">
      <c r="A344" s="19">
        <v>48.0</v>
      </c>
      <c r="B344" s="24">
        <v>46634.0</v>
      </c>
      <c r="C344" s="19" t="s">
        <v>112</v>
      </c>
      <c r="D344" s="21" t="s">
        <v>348</v>
      </c>
      <c r="E344" s="21" t="s">
        <v>113</v>
      </c>
      <c r="F344" s="19">
        <v>90.0</v>
      </c>
      <c r="G344" s="22" t="s">
        <v>76</v>
      </c>
      <c r="H344" s="22" t="s">
        <v>300</v>
      </c>
      <c r="I344" s="22" t="s">
        <v>81</v>
      </c>
      <c r="J344" s="22" t="s">
        <v>273</v>
      </c>
    </row>
    <row r="345" ht="15.75" customHeight="1">
      <c r="A345" s="15">
        <v>49.0</v>
      </c>
      <c r="B345" s="24">
        <v>46635.0</v>
      </c>
      <c r="C345" s="15" t="s">
        <v>116</v>
      </c>
      <c r="D345" s="17" t="s">
        <v>348</v>
      </c>
      <c r="E345" s="17" t="s">
        <v>100</v>
      </c>
      <c r="F345" s="15">
        <v>0.0</v>
      </c>
      <c r="G345" s="18" t="s">
        <v>81</v>
      </c>
      <c r="H345" s="18" t="s">
        <v>117</v>
      </c>
      <c r="I345" s="18" t="s">
        <v>355</v>
      </c>
      <c r="J345" s="18"/>
    </row>
    <row r="346" ht="15.75" customHeight="1">
      <c r="A346" s="23">
        <v>49.0</v>
      </c>
      <c r="B346" s="24">
        <v>46636.0</v>
      </c>
      <c r="C346" s="23" t="s">
        <v>119</v>
      </c>
      <c r="D346" s="25" t="s">
        <v>348</v>
      </c>
      <c r="E346" s="25" t="s">
        <v>169</v>
      </c>
      <c r="F346" s="23">
        <v>35.0</v>
      </c>
      <c r="G346" s="26" t="s">
        <v>121</v>
      </c>
      <c r="H346" s="26" t="s">
        <v>258</v>
      </c>
      <c r="I346" s="26" t="s">
        <v>81</v>
      </c>
      <c r="J346" s="26" t="s">
        <v>123</v>
      </c>
    </row>
    <row r="347" ht="15.75" customHeight="1">
      <c r="A347" s="9">
        <v>49.0</v>
      </c>
      <c r="B347" s="24">
        <v>46637.0</v>
      </c>
      <c r="C347" s="9" t="s">
        <v>124</v>
      </c>
      <c r="D347" s="14" t="s">
        <v>348</v>
      </c>
      <c r="E347" s="14" t="s">
        <v>73</v>
      </c>
      <c r="F347" s="9">
        <v>35.0</v>
      </c>
      <c r="G347" s="13" t="s">
        <v>76</v>
      </c>
      <c r="H347" s="13" t="s">
        <v>247</v>
      </c>
      <c r="I347" s="13" t="s">
        <v>357</v>
      </c>
      <c r="J347" s="13"/>
    </row>
    <row r="348" ht="15.75" customHeight="1">
      <c r="A348" s="23">
        <v>49.0</v>
      </c>
      <c r="B348" s="24">
        <v>46638.0</v>
      </c>
      <c r="C348" s="23" t="s">
        <v>68</v>
      </c>
      <c r="D348" s="25" t="s">
        <v>348</v>
      </c>
      <c r="E348" s="25" t="s">
        <v>126</v>
      </c>
      <c r="F348" s="23">
        <v>38.0</v>
      </c>
      <c r="G348" s="26" t="s">
        <v>127</v>
      </c>
      <c r="H348" s="26" t="s">
        <v>358</v>
      </c>
      <c r="I348" s="26" t="s">
        <v>81</v>
      </c>
      <c r="J348" s="26" t="s">
        <v>129</v>
      </c>
    </row>
    <row r="349" ht="15.75" customHeight="1">
      <c r="A349" s="15">
        <v>49.0</v>
      </c>
      <c r="B349" s="24">
        <v>46639.0</v>
      </c>
      <c r="C349" s="15" t="s">
        <v>95</v>
      </c>
      <c r="D349" s="17" t="s">
        <v>348</v>
      </c>
      <c r="E349" s="17" t="s">
        <v>100</v>
      </c>
      <c r="F349" s="15">
        <v>0.0</v>
      </c>
      <c r="G349" s="18" t="s">
        <v>81</v>
      </c>
      <c r="H349" s="18" t="s">
        <v>107</v>
      </c>
      <c r="I349" s="18" t="s">
        <v>359</v>
      </c>
      <c r="J349" s="18"/>
    </row>
    <row r="350" ht="15.75" customHeight="1">
      <c r="A350" s="9">
        <v>49.0</v>
      </c>
      <c r="B350" s="24">
        <v>46640.0</v>
      </c>
      <c r="C350" s="9" t="s">
        <v>109</v>
      </c>
      <c r="D350" s="14" t="s">
        <v>348</v>
      </c>
      <c r="E350" s="14" t="s">
        <v>73</v>
      </c>
      <c r="F350" s="9">
        <v>30.0</v>
      </c>
      <c r="G350" s="13" t="s">
        <v>110</v>
      </c>
      <c r="H350" s="13" t="s">
        <v>235</v>
      </c>
      <c r="I350" s="13" t="s">
        <v>81</v>
      </c>
      <c r="J350" s="13" t="s">
        <v>134</v>
      </c>
    </row>
    <row r="351" ht="15.75" customHeight="1">
      <c r="A351" s="19">
        <v>49.0</v>
      </c>
      <c r="B351" s="24">
        <v>46641.0</v>
      </c>
      <c r="C351" s="19" t="s">
        <v>112</v>
      </c>
      <c r="D351" s="21" t="s">
        <v>348</v>
      </c>
      <c r="E351" s="21" t="s">
        <v>113</v>
      </c>
      <c r="F351" s="19">
        <v>65.0</v>
      </c>
      <c r="G351" s="22" t="s">
        <v>76</v>
      </c>
      <c r="H351" s="22" t="s">
        <v>161</v>
      </c>
      <c r="I351" s="22" t="s">
        <v>81</v>
      </c>
      <c r="J351" s="22"/>
    </row>
    <row r="352" ht="15.75" customHeight="1">
      <c r="A352" s="15">
        <v>50.0</v>
      </c>
      <c r="B352" s="24">
        <v>46642.0</v>
      </c>
      <c r="C352" s="15" t="s">
        <v>116</v>
      </c>
      <c r="D352" s="17" t="s">
        <v>348</v>
      </c>
      <c r="E352" s="17" t="s">
        <v>100</v>
      </c>
      <c r="F352" s="15">
        <v>0.0</v>
      </c>
      <c r="G352" s="18" t="s">
        <v>81</v>
      </c>
      <c r="H352" s="18" t="s">
        <v>117</v>
      </c>
      <c r="I352" s="18" t="s">
        <v>349</v>
      </c>
      <c r="J352" s="18"/>
    </row>
    <row r="353" ht="15.75" customHeight="1">
      <c r="A353" s="23">
        <v>50.0</v>
      </c>
      <c r="B353" s="24">
        <v>46643.0</v>
      </c>
      <c r="C353" s="23" t="s">
        <v>119</v>
      </c>
      <c r="D353" s="25" t="s">
        <v>348</v>
      </c>
      <c r="E353" s="25" t="s">
        <v>120</v>
      </c>
      <c r="F353" s="23">
        <v>40.0</v>
      </c>
      <c r="G353" s="26" t="s">
        <v>121</v>
      </c>
      <c r="H353" s="26" t="s">
        <v>280</v>
      </c>
      <c r="I353" s="26" t="s">
        <v>81</v>
      </c>
      <c r="J353" s="26" t="s">
        <v>305</v>
      </c>
    </row>
    <row r="354" ht="15.75" customHeight="1">
      <c r="A354" s="9">
        <v>50.0</v>
      </c>
      <c r="B354" s="24">
        <v>46644.0</v>
      </c>
      <c r="C354" s="9" t="s">
        <v>124</v>
      </c>
      <c r="D354" s="14" t="s">
        <v>348</v>
      </c>
      <c r="E354" s="14" t="s">
        <v>73</v>
      </c>
      <c r="F354" s="9">
        <v>40.0</v>
      </c>
      <c r="G354" s="13" t="s">
        <v>110</v>
      </c>
      <c r="H354" s="13" t="s">
        <v>281</v>
      </c>
      <c r="I354" s="13" t="s">
        <v>350</v>
      </c>
      <c r="J354" s="13"/>
    </row>
    <row r="355" ht="15.75" customHeight="1">
      <c r="A355" s="23">
        <v>50.0</v>
      </c>
      <c r="B355" s="24">
        <v>46645.0</v>
      </c>
      <c r="C355" s="23" t="s">
        <v>68</v>
      </c>
      <c r="D355" s="25" t="s">
        <v>348</v>
      </c>
      <c r="E355" s="25" t="s">
        <v>137</v>
      </c>
      <c r="F355" s="23">
        <v>37.0</v>
      </c>
      <c r="G355" s="26" t="s">
        <v>138</v>
      </c>
      <c r="H355" s="26" t="s">
        <v>254</v>
      </c>
      <c r="I355" s="26" t="s">
        <v>81</v>
      </c>
      <c r="J355" s="26" t="s">
        <v>140</v>
      </c>
    </row>
    <row r="356" ht="15.75" customHeight="1">
      <c r="A356" s="15">
        <v>50.0</v>
      </c>
      <c r="B356" s="24">
        <v>46646.0</v>
      </c>
      <c r="C356" s="15" t="s">
        <v>95</v>
      </c>
      <c r="D356" s="17" t="s">
        <v>348</v>
      </c>
      <c r="E356" s="17" t="s">
        <v>100</v>
      </c>
      <c r="F356" s="15">
        <v>0.0</v>
      </c>
      <c r="G356" s="18" t="s">
        <v>81</v>
      </c>
      <c r="H356" s="18" t="s">
        <v>107</v>
      </c>
      <c r="I356" s="18" t="s">
        <v>352</v>
      </c>
      <c r="J356" s="18"/>
    </row>
    <row r="357" ht="15.75" customHeight="1">
      <c r="A357" s="9">
        <v>50.0</v>
      </c>
      <c r="B357" s="24">
        <v>46647.0</v>
      </c>
      <c r="C357" s="9" t="s">
        <v>109</v>
      </c>
      <c r="D357" s="14" t="s">
        <v>348</v>
      </c>
      <c r="E357" s="14" t="s">
        <v>73</v>
      </c>
      <c r="F357" s="9">
        <v>35.0</v>
      </c>
      <c r="G357" s="13" t="s">
        <v>110</v>
      </c>
      <c r="H357" s="13" t="s">
        <v>241</v>
      </c>
      <c r="I357" s="13" t="s">
        <v>81</v>
      </c>
      <c r="J357" s="13" t="s">
        <v>134</v>
      </c>
    </row>
    <row r="358" ht="15.75" customHeight="1">
      <c r="A358" s="19">
        <v>50.0</v>
      </c>
      <c r="B358" s="24">
        <v>46648.0</v>
      </c>
      <c r="C358" s="19" t="s">
        <v>112</v>
      </c>
      <c r="D358" s="21" t="s">
        <v>348</v>
      </c>
      <c r="E358" s="21" t="s">
        <v>113</v>
      </c>
      <c r="F358" s="19">
        <v>90.0</v>
      </c>
      <c r="G358" s="22" t="s">
        <v>76</v>
      </c>
      <c r="H358" s="22" t="s">
        <v>300</v>
      </c>
      <c r="I358" s="22" t="s">
        <v>81</v>
      </c>
      <c r="J358" s="22" t="s">
        <v>273</v>
      </c>
    </row>
    <row r="359" ht="15.75" customHeight="1">
      <c r="A359" s="15">
        <v>51.0</v>
      </c>
      <c r="B359" s="24">
        <v>46649.0</v>
      </c>
      <c r="C359" s="15" t="s">
        <v>116</v>
      </c>
      <c r="D359" s="17" t="s">
        <v>348</v>
      </c>
      <c r="E359" s="17" t="s">
        <v>100</v>
      </c>
      <c r="F359" s="15">
        <v>0.0</v>
      </c>
      <c r="G359" s="18" t="s">
        <v>81</v>
      </c>
      <c r="H359" s="18" t="s">
        <v>117</v>
      </c>
      <c r="I359" s="18" t="s">
        <v>353</v>
      </c>
      <c r="J359" s="18"/>
    </row>
    <row r="360" ht="15.75" customHeight="1">
      <c r="A360" s="23">
        <v>51.0</v>
      </c>
      <c r="B360" s="24">
        <v>46650.0</v>
      </c>
      <c r="C360" s="23" t="s">
        <v>119</v>
      </c>
      <c r="D360" s="25" t="s">
        <v>348</v>
      </c>
      <c r="E360" s="25" t="s">
        <v>120</v>
      </c>
      <c r="F360" s="23">
        <v>36.0</v>
      </c>
      <c r="G360" s="26" t="s">
        <v>121</v>
      </c>
      <c r="H360" s="26" t="s">
        <v>215</v>
      </c>
      <c r="I360" s="26" t="s">
        <v>81</v>
      </c>
      <c r="J360" s="26" t="s">
        <v>123</v>
      </c>
    </row>
    <row r="361" ht="15.75" customHeight="1">
      <c r="A361" s="9">
        <v>51.0</v>
      </c>
      <c r="B361" s="24">
        <v>46651.0</v>
      </c>
      <c r="C361" s="9" t="s">
        <v>124</v>
      </c>
      <c r="D361" s="14" t="s">
        <v>348</v>
      </c>
      <c r="E361" s="14" t="s">
        <v>73</v>
      </c>
      <c r="F361" s="9">
        <v>40.0</v>
      </c>
      <c r="G361" s="13" t="s">
        <v>76</v>
      </c>
      <c r="H361" s="13" t="s">
        <v>289</v>
      </c>
      <c r="I361" s="13" t="s">
        <v>350</v>
      </c>
      <c r="J361" s="13"/>
    </row>
    <row r="362" ht="15.75" customHeight="1">
      <c r="A362" s="23">
        <v>51.0</v>
      </c>
      <c r="B362" s="24">
        <v>46652.0</v>
      </c>
      <c r="C362" s="23" t="s">
        <v>68</v>
      </c>
      <c r="D362" s="25" t="s">
        <v>348</v>
      </c>
      <c r="E362" s="25" t="s">
        <v>126</v>
      </c>
      <c r="F362" s="23">
        <v>38.0</v>
      </c>
      <c r="G362" s="26" t="s">
        <v>127</v>
      </c>
      <c r="H362" s="26" t="s">
        <v>325</v>
      </c>
      <c r="I362" s="26" t="s">
        <v>81</v>
      </c>
      <c r="J362" s="26" t="s">
        <v>129</v>
      </c>
    </row>
    <row r="363" ht="15.75" customHeight="1">
      <c r="A363" s="15">
        <v>51.0</v>
      </c>
      <c r="B363" s="24">
        <v>46653.0</v>
      </c>
      <c r="C363" s="15" t="s">
        <v>95</v>
      </c>
      <c r="D363" s="17" t="s">
        <v>348</v>
      </c>
      <c r="E363" s="17" t="s">
        <v>100</v>
      </c>
      <c r="F363" s="15">
        <v>0.0</v>
      </c>
      <c r="G363" s="18" t="s">
        <v>81</v>
      </c>
      <c r="H363" s="18" t="s">
        <v>107</v>
      </c>
      <c r="I363" s="18" t="s">
        <v>363</v>
      </c>
      <c r="J363" s="18"/>
    </row>
    <row r="364" ht="15.75" customHeight="1">
      <c r="A364" s="9">
        <v>51.0</v>
      </c>
      <c r="B364" s="24">
        <v>46654.0</v>
      </c>
      <c r="C364" s="9" t="s">
        <v>109</v>
      </c>
      <c r="D364" s="14" t="s">
        <v>348</v>
      </c>
      <c r="E364" s="14" t="s">
        <v>73</v>
      </c>
      <c r="F364" s="9">
        <v>35.0</v>
      </c>
      <c r="G364" s="13" t="s">
        <v>110</v>
      </c>
      <c r="H364" s="13" t="s">
        <v>241</v>
      </c>
      <c r="I364" s="13" t="s">
        <v>81</v>
      </c>
      <c r="J364" s="13" t="s">
        <v>134</v>
      </c>
    </row>
    <row r="365" ht="15.75" customHeight="1">
      <c r="A365" s="19">
        <v>51.0</v>
      </c>
      <c r="B365" s="24">
        <v>46655.0</v>
      </c>
      <c r="C365" s="19" t="s">
        <v>112</v>
      </c>
      <c r="D365" s="21" t="s">
        <v>348</v>
      </c>
      <c r="E365" s="21" t="s">
        <v>113</v>
      </c>
      <c r="F365" s="19">
        <v>75.0</v>
      </c>
      <c r="G365" s="22" t="s">
        <v>76</v>
      </c>
      <c r="H365" s="22" t="s">
        <v>272</v>
      </c>
      <c r="I365" s="22" t="s">
        <v>81</v>
      </c>
      <c r="J365" s="22" t="s">
        <v>273</v>
      </c>
    </row>
    <row r="366" ht="15.75" customHeight="1">
      <c r="A366" s="15">
        <v>52.0</v>
      </c>
      <c r="B366" s="24">
        <v>46656.0</v>
      </c>
      <c r="C366" s="15" t="s">
        <v>116</v>
      </c>
      <c r="D366" s="17" t="s">
        <v>348</v>
      </c>
      <c r="E366" s="17" t="s">
        <v>100</v>
      </c>
      <c r="F366" s="15">
        <v>0.0</v>
      </c>
      <c r="G366" s="18" t="s">
        <v>81</v>
      </c>
      <c r="H366" s="18" t="s">
        <v>117</v>
      </c>
      <c r="I366" s="18" t="s">
        <v>364</v>
      </c>
      <c r="J366" s="18"/>
    </row>
    <row r="367" ht="15.75" customHeight="1">
      <c r="A367" s="23">
        <v>52.0</v>
      </c>
      <c r="B367" s="24">
        <v>46657.0</v>
      </c>
      <c r="C367" s="23" t="s">
        <v>119</v>
      </c>
      <c r="D367" s="25" t="s">
        <v>348</v>
      </c>
      <c r="E367" s="25" t="s">
        <v>169</v>
      </c>
      <c r="F367" s="23">
        <v>32.0</v>
      </c>
      <c r="G367" s="26" t="s">
        <v>121</v>
      </c>
      <c r="H367" s="26" t="s">
        <v>170</v>
      </c>
      <c r="I367" s="26" t="s">
        <v>81</v>
      </c>
      <c r="J367" s="26" t="s">
        <v>123</v>
      </c>
    </row>
    <row r="368" ht="15.75" customHeight="1">
      <c r="A368" s="9">
        <v>52.0</v>
      </c>
      <c r="B368" s="24">
        <v>46658.0</v>
      </c>
      <c r="C368" s="9" t="s">
        <v>124</v>
      </c>
      <c r="D368" s="14" t="s">
        <v>348</v>
      </c>
      <c r="E368" s="14" t="s">
        <v>73</v>
      </c>
      <c r="F368" s="9">
        <v>25.0</v>
      </c>
      <c r="G368" s="13" t="s">
        <v>76</v>
      </c>
      <c r="H368" s="13" t="s">
        <v>365</v>
      </c>
      <c r="I368" s="13" t="s">
        <v>366</v>
      </c>
      <c r="J368" s="13"/>
    </row>
    <row r="369" ht="15.75" customHeight="1">
      <c r="A369" s="9">
        <v>52.0</v>
      </c>
      <c r="B369" s="24">
        <v>46659.0</v>
      </c>
      <c r="C369" s="9" t="s">
        <v>68</v>
      </c>
      <c r="D369" s="14" t="s">
        <v>348</v>
      </c>
      <c r="E369" s="14" t="s">
        <v>73</v>
      </c>
      <c r="F369" s="9">
        <v>25.0</v>
      </c>
      <c r="G369" s="13" t="s">
        <v>110</v>
      </c>
      <c r="H369" s="13" t="s">
        <v>171</v>
      </c>
      <c r="I369" s="13" t="s">
        <v>81</v>
      </c>
      <c r="J369" s="13" t="s">
        <v>367</v>
      </c>
    </row>
    <row r="370" ht="15.75" customHeight="1">
      <c r="A370" s="15">
        <v>52.0</v>
      </c>
      <c r="B370" s="24">
        <v>46660.0</v>
      </c>
      <c r="C370" s="15" t="s">
        <v>95</v>
      </c>
      <c r="D370" s="17" t="s">
        <v>348</v>
      </c>
      <c r="E370" s="17" t="s">
        <v>229</v>
      </c>
      <c r="F370" s="15">
        <v>0.0</v>
      </c>
      <c r="G370" s="18" t="s">
        <v>81</v>
      </c>
      <c r="H370" s="18" t="s">
        <v>314</v>
      </c>
      <c r="I370" s="18" t="s">
        <v>81</v>
      </c>
      <c r="J370" s="18"/>
    </row>
    <row r="371" ht="15.75" customHeight="1">
      <c r="A371" s="9">
        <v>52.0</v>
      </c>
      <c r="B371" s="24">
        <v>46661.0</v>
      </c>
      <c r="C371" s="9" t="s">
        <v>109</v>
      </c>
      <c r="D371" s="14" t="s">
        <v>348</v>
      </c>
      <c r="E371" s="14" t="s">
        <v>73</v>
      </c>
      <c r="F371" s="9">
        <v>20.0</v>
      </c>
      <c r="G371" s="13" t="s">
        <v>110</v>
      </c>
      <c r="H371" s="13" t="s">
        <v>368</v>
      </c>
      <c r="I371" s="13" t="s">
        <v>81</v>
      </c>
      <c r="J371" s="13" t="s">
        <v>369</v>
      </c>
    </row>
    <row r="372" ht="15.75" customHeight="1">
      <c r="A372" s="37">
        <v>52.0</v>
      </c>
      <c r="B372" s="24">
        <v>46662.0</v>
      </c>
      <c r="C372" s="37" t="s">
        <v>112</v>
      </c>
      <c r="D372" s="38" t="s">
        <v>348</v>
      </c>
      <c r="E372" s="38" t="s">
        <v>315</v>
      </c>
      <c r="F372" s="37">
        <v>90.0</v>
      </c>
      <c r="G372" s="39" t="s">
        <v>266</v>
      </c>
      <c r="H372" s="39" t="s">
        <v>370</v>
      </c>
      <c r="I372" s="39" t="s">
        <v>81</v>
      </c>
      <c r="J372" s="39" t="s">
        <v>371</v>
      </c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J$372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0.0"/>
    <col customWidth="1" min="3" max="5" width="62.0"/>
    <col customWidth="1" min="6" max="26" width="8.71"/>
  </cols>
  <sheetData>
    <row r="1">
      <c r="A1" s="4" t="s">
        <v>17</v>
      </c>
    </row>
    <row r="2">
      <c r="A2" s="7" t="s">
        <v>25</v>
      </c>
    </row>
    <row r="3">
      <c r="A3" s="7" t="s">
        <v>30</v>
      </c>
    </row>
    <row r="4">
      <c r="A4" s="7" t="s">
        <v>35</v>
      </c>
    </row>
    <row r="5">
      <c r="A5" s="7" t="s">
        <v>38</v>
      </c>
    </row>
    <row r="7">
      <c r="A7" s="8" t="s">
        <v>50</v>
      </c>
      <c r="B7" s="8" t="s">
        <v>54</v>
      </c>
      <c r="C7" s="8" t="s">
        <v>57</v>
      </c>
      <c r="D7" s="8" t="s">
        <v>59</v>
      </c>
      <c r="E7" s="8" t="s">
        <v>61</v>
      </c>
    </row>
    <row r="8">
      <c r="A8" s="10" t="s">
        <v>66</v>
      </c>
      <c r="B8" s="13" t="s">
        <v>67</v>
      </c>
      <c r="C8" s="13" t="s">
        <v>70</v>
      </c>
      <c r="D8" s="13" t="s">
        <v>71</v>
      </c>
      <c r="E8" s="13" t="s">
        <v>74</v>
      </c>
    </row>
    <row r="9">
      <c r="A9" s="10" t="s">
        <v>77</v>
      </c>
      <c r="B9" s="13" t="s">
        <v>79</v>
      </c>
      <c r="C9" s="13" t="s">
        <v>80</v>
      </c>
      <c r="D9" s="13" t="s">
        <v>82</v>
      </c>
      <c r="E9" s="13" t="s">
        <v>84</v>
      </c>
    </row>
    <row r="10">
      <c r="A10" s="10" t="s">
        <v>85</v>
      </c>
      <c r="B10" s="13" t="s">
        <v>86</v>
      </c>
      <c r="C10" s="13" t="s">
        <v>87</v>
      </c>
      <c r="D10" s="13" t="s">
        <v>88</v>
      </c>
      <c r="E10" s="13" t="s">
        <v>89</v>
      </c>
    </row>
    <row r="11">
      <c r="A11" s="10" t="s">
        <v>90</v>
      </c>
      <c r="B11" s="13" t="s">
        <v>91</v>
      </c>
      <c r="C11" s="13" t="s">
        <v>92</v>
      </c>
      <c r="D11" s="13" t="s">
        <v>93</v>
      </c>
      <c r="E11" s="13" t="s">
        <v>94</v>
      </c>
    </row>
    <row r="12">
      <c r="A12" s="10" t="s">
        <v>96</v>
      </c>
      <c r="B12" s="13" t="s">
        <v>97</v>
      </c>
      <c r="C12" s="13" t="s">
        <v>98</v>
      </c>
      <c r="D12" s="13" t="s">
        <v>99</v>
      </c>
      <c r="E12" s="13" t="s">
        <v>101</v>
      </c>
    </row>
    <row r="13">
      <c r="A13" s="10" t="s">
        <v>102</v>
      </c>
      <c r="B13" s="13" t="s">
        <v>103</v>
      </c>
      <c r="C13" s="13" t="s">
        <v>104</v>
      </c>
      <c r="D13" s="13" t="s">
        <v>105</v>
      </c>
      <c r="E13" s="13" t="s">
        <v>106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34.0"/>
    <col customWidth="1" min="3" max="3" width="28.0"/>
    <col customWidth="1" min="4" max="4" width="24.0"/>
    <col customWidth="1" min="5" max="5" width="38.0"/>
    <col customWidth="1" min="6" max="6" width="44.0"/>
    <col customWidth="1" min="7" max="7" width="34.0"/>
    <col customWidth="1" min="8" max="26" width="8.71"/>
  </cols>
  <sheetData>
    <row r="1">
      <c r="A1" s="4" t="s">
        <v>141</v>
      </c>
    </row>
    <row r="3">
      <c r="A3" s="28" t="s">
        <v>142</v>
      </c>
    </row>
    <row r="4" ht="30.0" customHeight="1">
      <c r="A4" s="29" t="s">
        <v>143</v>
      </c>
      <c r="B4" s="30">
        <v>2.9</v>
      </c>
      <c r="C4" s="7" t="s">
        <v>144</v>
      </c>
    </row>
    <row r="5">
      <c r="A5" s="29" t="s">
        <v>145</v>
      </c>
      <c r="B5" s="31">
        <f>1200/B4</f>
        <v>413.7931034</v>
      </c>
    </row>
    <row r="6">
      <c r="A6" s="29" t="s">
        <v>149</v>
      </c>
      <c r="B6" s="29" t="str">
        <f>TEXT(B5/86400,"m:ss")</f>
        <v>6:54</v>
      </c>
    </row>
    <row r="8">
      <c r="A8" s="8" t="s">
        <v>151</v>
      </c>
      <c r="B8" s="8" t="s">
        <v>152</v>
      </c>
      <c r="C8" s="8" t="s">
        <v>153</v>
      </c>
      <c r="D8" s="8" t="s">
        <v>154</v>
      </c>
      <c r="E8" s="8" t="s">
        <v>155</v>
      </c>
      <c r="F8" s="8" t="s">
        <v>156</v>
      </c>
      <c r="G8" s="8" t="s">
        <v>157</v>
      </c>
    </row>
    <row r="9">
      <c r="A9" s="13" t="s">
        <v>158</v>
      </c>
      <c r="B9" s="13" t="s">
        <v>159</v>
      </c>
      <c r="C9" s="13" t="s">
        <v>160</v>
      </c>
      <c r="D9" s="13" t="str">
        <f>TEXT(($B$5+(100))/86400,"m:ss")&amp;" – "&amp;TEXT(($B$5+(150))/86400,"m:ss")</f>
        <v>8:34 – 9:24</v>
      </c>
      <c r="E9" s="13" t="s">
        <v>162</v>
      </c>
      <c r="F9" s="13" t="s">
        <v>163</v>
      </c>
      <c r="G9" s="13" t="s">
        <v>164</v>
      </c>
    </row>
    <row r="10">
      <c r="A10" s="13" t="s">
        <v>165</v>
      </c>
      <c r="B10" s="13" t="s">
        <v>167</v>
      </c>
      <c r="C10" s="13" t="s">
        <v>168</v>
      </c>
      <c r="D10" s="13" t="str">
        <f>TEXT(($B$5+(15))/86400,"m:ss")&amp;" – "&amp;TEXT(($B$5+(20))/86400,"m:ss")</f>
        <v>7:09 – 7:14</v>
      </c>
      <c r="E10" s="13" t="s">
        <v>173</v>
      </c>
      <c r="F10" s="13" t="s">
        <v>174</v>
      </c>
      <c r="G10" s="13" t="s">
        <v>175</v>
      </c>
    </row>
    <row r="11">
      <c r="A11" s="13" t="s">
        <v>176</v>
      </c>
      <c r="B11" s="13" t="s">
        <v>177</v>
      </c>
      <c r="C11" s="13" t="s">
        <v>178</v>
      </c>
      <c r="D11" s="13" t="str">
        <f>TEXT(($B$5+(-10))/86400,"m:ss")&amp;" – "&amp;TEXT(($B$5+(-5))/86400,"m:ss")</f>
        <v>6:44 – 6:49</v>
      </c>
      <c r="E11" s="13" t="s">
        <v>181</v>
      </c>
      <c r="F11" s="13" t="s">
        <v>182</v>
      </c>
      <c r="G11" s="13" t="s">
        <v>183</v>
      </c>
    </row>
    <row r="12">
      <c r="A12" s="13" t="s">
        <v>184</v>
      </c>
      <c r="B12" s="13" t="s">
        <v>185</v>
      </c>
      <c r="C12" s="13" t="s">
        <v>186</v>
      </c>
      <c r="D12" s="13" t="s">
        <v>187</v>
      </c>
      <c r="E12" s="13" t="s">
        <v>188</v>
      </c>
      <c r="F12" s="13" t="s">
        <v>189</v>
      </c>
      <c r="G12" s="13" t="s">
        <v>190</v>
      </c>
    </row>
    <row r="14">
      <c r="A14" s="28" t="s">
        <v>192</v>
      </c>
    </row>
    <row r="15">
      <c r="A15" s="28" t="s">
        <v>194</v>
      </c>
      <c r="B15" s="29" t="s">
        <v>195</v>
      </c>
    </row>
    <row r="16">
      <c r="A16" s="28" t="s">
        <v>197</v>
      </c>
      <c r="B16" s="29" t="s">
        <v>198</v>
      </c>
    </row>
    <row r="17">
      <c r="A17" s="28" t="s">
        <v>199</v>
      </c>
      <c r="B17" s="29" t="s">
        <v>200</v>
      </c>
    </row>
    <row r="18">
      <c r="A18" s="28" t="s">
        <v>202</v>
      </c>
      <c r="B18" s="29" t="s">
        <v>203</v>
      </c>
    </row>
    <row r="20">
      <c r="A20" s="7" t="s">
        <v>204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2026-10-02T04:43:40Z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